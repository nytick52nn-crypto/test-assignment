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k\Downloads\"/>
    </mc:Choice>
  </mc:AlternateContent>
  <xr:revisionPtr revIDLastSave="0" documentId="13_ncr:1_{C8A3834B-F054-4029-8944-4151B554684A}" xr6:coauthVersionLast="47" xr6:coauthVersionMax="47" xr10:uidLastSave="{00000000-0000-0000-0000-000000000000}"/>
  <bookViews>
    <workbookView xWindow="-120" yWindow="-120" windowWidth="29040" windowHeight="15720" tabRatio="722" activeTab="2" xr2:uid="{DA7E392B-E553-4C15-AF8D-9AF00DCEDB07}"/>
  </bookViews>
  <sheets>
    <sheet name="Витрина_Данных" sheetId="2" r:id="rId1"/>
    <sheet name="Продажи_по_Категориям" sheetId="10" r:id="rId2"/>
    <sheet name="Топ5_Товаров" sheetId="4" r:id="rId3"/>
    <sheet name="VIP_Клиенты" sheetId="5" r:id="rId4"/>
    <sheet name="Новые_Клиенты" sheetId="6" r:id="rId5"/>
    <sheet name="Динамика_по_Месяцам" sheetId="7" r:id="rId6"/>
    <sheet name="Выручка_по_Регионам" sheetId="8" r:id="rId7"/>
  </sheets>
  <definedNames>
    <definedName name="ExternalData_1" localSheetId="0" hidden="1">Витрина_Данных!$A$1:$L$41</definedName>
    <definedName name="ExternalData_3" localSheetId="2" hidden="1">Топ5_Товаров!$A$1:$B$6</definedName>
    <definedName name="ExternalData_4" localSheetId="3" hidden="1">VIP_Клиенты!$A$1:$L$11</definedName>
    <definedName name="ExternalData_4" localSheetId="1" hidden="1">Продажи_по_Категориям!$A$1:$D$7</definedName>
    <definedName name="ExternalData_5" localSheetId="4" hidden="1">Новые_Клиенты!$A$1:$L$10</definedName>
    <definedName name="ExternalData_6" localSheetId="5" hidden="1">Динамика_по_Месяцам!$A$1:$C$8</definedName>
    <definedName name="ExternalData_7" localSheetId="6" hidden="1">Выручка_по_Регионам!$A$1:$B$8</definedName>
  </definedNames>
  <calcPr calcId="191029"/>
  <pivotCaches>
    <pivotCache cacheId="6" r:id="rId8"/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D9CDEF-6044-4E70-B1B9-59609B23540B}" keepAlive="1" name="Запрос — Customers" description="Соединение с запросом &quot;Customers&quot; в книге." type="5" refreshedVersion="0" background="1">
    <dbPr connection="Provider=Microsoft.Mashup.OleDb.1;Data Source=$Workbook$;Location=Customers;Extended Properties=&quot;&quot;" command="SELECT * FROM [Customers]"/>
  </connection>
  <connection id="2" xr16:uid="{8BB4E02E-6501-458C-B2BF-0987026E19EC}" keepAlive="1" name="Запрос — OrderItems" description="Соединение с запросом &quot;OrderItems&quot; в книге." type="5" refreshedVersion="0" background="1">
    <dbPr connection="Provider=Microsoft.Mashup.OleDb.1;Data Source=$Workbook$;Location=OrderItems;Extended Properties=&quot;&quot;" command="SELECT * FROM [OrderItems]"/>
  </connection>
  <connection id="3" xr16:uid="{A2F0D0DB-4827-42A7-8111-C76FAFE98B06}" keepAlive="1" name="Запрос — Orders" description="Соединение с запросом &quot;Orders&quot; в книге." type="5" refreshedVersion="0" background="1">
    <dbPr connection="Provider=Microsoft.Mashup.OleDb.1;Data Source=$Workbook$;Location=Orders;Extended Properties=&quot;&quot;" command="SELECT * FROM [Orders]"/>
  </connection>
  <connection id="4" xr16:uid="{8BAF5E86-BF82-410F-A50D-F27E8800B855}" keepAlive="1" name="Запрос — Products" description="Соединение с запросом &quot;Products&quot; в книге." type="5" refreshedVersion="0" background="1">
    <dbPr connection="Provider=Microsoft.Mashup.OleDb.1;Data Source=$Workbook$;Location=Products;Extended Properties=&quot;&quot;" command="SELECT * FROM [Products]"/>
  </connection>
  <connection id="5" xr16:uid="{9A3AA800-A601-479F-AD5E-15E80E41F73B}" keepAlive="1" name="Запрос — VIP_Клиенты" description="Соединение с запросом &quot;VIP_Клиенты&quot; в книге." type="5" refreshedVersion="7" background="1" saveData="1">
    <dbPr connection="Provider=Microsoft.Mashup.OleDb.1;Data Source=$Workbook$;Location=VIP_Клиенты;Extended Properties=&quot;&quot;" command="SELECT * FROM [VIP_Клиенты]"/>
  </connection>
  <connection id="6" xr16:uid="{EA270CD3-0C03-4636-82A0-467086DE3FE1}" keepAlive="1" name="Запрос — Витрина_Данных" description="Соединение с запросом &quot;Витрина_Данных&quot; в книге." type="5" refreshedVersion="7" background="1" saveData="1">
    <dbPr connection="Provider=Microsoft.Mashup.OleDb.1;Data Source=$Workbook$;Location=Витрина_Данных;Extended Properties=&quot;&quot;" command="SELECT * FROM [Витрина_Данных]"/>
  </connection>
  <connection id="7" xr16:uid="{100FC5B7-65A8-4FBE-88E4-0FC51D1CC087}" keepAlive="1" name="Запрос — Выручка_по_Регионам" description="Соединение с запросом &quot;Выручка_по_Регионам&quot; в книге." type="5" refreshedVersion="7" background="1" saveData="1">
    <dbPr connection="Provider=Microsoft.Mashup.OleDb.1;Data Source=$Workbook$;Location=Выручка_по_Регионам;Extended Properties=&quot;&quot;" command="SELECT * FROM [Выручка_по_Регионам]"/>
  </connection>
  <connection id="8" xr16:uid="{044675B3-95CD-476E-8751-C6A215EC4AC1}" keepAlive="1" name="Запрос — Динамика_по_Месяцам" description="Соединение с запросом &quot;Динамика_по_Месяцам&quot; в книге." type="5" refreshedVersion="7" background="1" saveData="1">
    <dbPr connection="Provider=Microsoft.Mashup.OleDb.1;Data Source=$Workbook$;Location=Динамика_по_Месяцам;Extended Properties=&quot;&quot;" command="SELECT * FROM [Динамика_по_Месяцам]"/>
  </connection>
  <connection id="9" xr16:uid="{1827425B-BED8-4AAD-838C-E62F993E1425}" keepAlive="1" name="Запрос — Новые_Клиенты" description="Соединение с запросом &quot;Новые_Клиенты&quot; в книге." type="5" refreshedVersion="7" background="1" saveData="1">
    <dbPr connection="Provider=Microsoft.Mashup.OleDb.1;Data Source=$Workbook$;Location=Новые_Клиенты;Extended Properties=&quot;&quot;" command="SELECT * FROM [Новые_Клиенты]"/>
  </connection>
  <connection id="10" xr16:uid="{46127FA9-46B4-4758-A8E7-0EADD25836F5}" keepAlive="1" name="Запрос — Продажи_по_Категориям" description="Соединение с запросом &quot;Продажи_по_Категориям&quot; в книге." type="5" refreshedVersion="7" background="1" saveData="1">
    <dbPr connection="Provider=Microsoft.Mashup.OleDb.1;Data Source=$Workbook$;Location=Продажи_по_Категориям;Extended Properties=&quot;&quot;" command="SELECT * FROM [Продажи_по_Категориям]"/>
  </connection>
  <connection id="11" xr16:uid="{DB6268EF-F02C-4894-9A5E-A98132159B93}" keepAlive="1" name="Запрос — Топ5_Товаров" description="Соединение с запросом &quot;Топ5_Товаров&quot; в книге." type="5" refreshedVersion="7" background="1" saveData="1">
    <dbPr connection="Provider=Microsoft.Mashup.OleDb.1;Data Source=$Workbook$;Location=Топ5_Товаров;Extended Properties=&quot;&quot;" command="SELECT * FROM [Топ5_Товаров]"/>
  </connection>
</connections>
</file>

<file path=xl/sharedStrings.xml><?xml version="1.0" encoding="utf-8"?>
<sst xmlns="http://schemas.openxmlformats.org/spreadsheetml/2006/main" count="318" uniqueCount="98">
  <si>
    <t>OrderID</t>
  </si>
  <si>
    <t>OrderDate</t>
  </si>
  <si>
    <t>CustomerName</t>
  </si>
  <si>
    <t>Product</t>
  </si>
  <si>
    <t>Category</t>
  </si>
  <si>
    <t>Price</t>
  </si>
  <si>
    <t>Quantity</t>
  </si>
  <si>
    <t>Discount</t>
  </si>
  <si>
    <t>DeliveryCost</t>
  </si>
  <si>
    <t>Returned</t>
  </si>
  <si>
    <t>Revenue</t>
  </si>
  <si>
    <t>Month</t>
  </si>
  <si>
    <t>Иванов А.</t>
  </si>
  <si>
    <t>Ноутбук</t>
  </si>
  <si>
    <t>Техника</t>
  </si>
  <si>
    <t>Нет</t>
  </si>
  <si>
    <t>Антонова Н.</t>
  </si>
  <si>
    <t>Петрова С.</t>
  </si>
  <si>
    <t>Смартфон</t>
  </si>
  <si>
    <t>Да</t>
  </si>
  <si>
    <t>Сидоров В.</t>
  </si>
  <si>
    <t>Книга</t>
  </si>
  <si>
    <t>Книги</t>
  </si>
  <si>
    <t>Козлова Е.</t>
  </si>
  <si>
    <t>Наушники</t>
  </si>
  <si>
    <t>Морозов Д.</t>
  </si>
  <si>
    <t>Кружка</t>
  </si>
  <si>
    <t>Товары для дома</t>
  </si>
  <si>
    <t>Новикова А.</t>
  </si>
  <si>
    <t>Планшет</t>
  </si>
  <si>
    <t>Лебедев И.</t>
  </si>
  <si>
    <t>Футболка</t>
  </si>
  <si>
    <t>Одежда</t>
  </si>
  <si>
    <t>Смирнова О.</t>
  </si>
  <si>
    <t>Стул</t>
  </si>
  <si>
    <t>Мебель</t>
  </si>
  <si>
    <t>Васильев П.</t>
  </si>
  <si>
    <t>Монитор</t>
  </si>
  <si>
    <t>Иванова Т.</t>
  </si>
  <si>
    <t>Клавиатура</t>
  </si>
  <si>
    <t>Кузнецов М.</t>
  </si>
  <si>
    <t>Мышь</t>
  </si>
  <si>
    <t>Попова Л.</t>
  </si>
  <si>
    <t>Рюкзак</t>
  </si>
  <si>
    <t>Аксессуары</t>
  </si>
  <si>
    <t>Соколов Н.</t>
  </si>
  <si>
    <t>Часы</t>
  </si>
  <si>
    <t>Федорова К.</t>
  </si>
  <si>
    <t>Принтер</t>
  </si>
  <si>
    <t>Никитин Д.</t>
  </si>
  <si>
    <t>Кофеварка</t>
  </si>
  <si>
    <t>Павлова М.</t>
  </si>
  <si>
    <t>Блендер</t>
  </si>
  <si>
    <t>Громов А.</t>
  </si>
  <si>
    <t>Плед</t>
  </si>
  <si>
    <t>Тихонова В.</t>
  </si>
  <si>
    <t>Зонт</t>
  </si>
  <si>
    <t>Белов С.</t>
  </si>
  <si>
    <t>Фен</t>
  </si>
  <si>
    <t>Крылова Е.</t>
  </si>
  <si>
    <t>Утюг</t>
  </si>
  <si>
    <t>Максимов П.</t>
  </si>
  <si>
    <t>Пылесос</t>
  </si>
  <si>
    <t>Орлова А.</t>
  </si>
  <si>
    <t>Миксер</t>
  </si>
  <si>
    <t>Егоров И.</t>
  </si>
  <si>
    <t>Тостер</t>
  </si>
  <si>
    <t>Зайцева О.</t>
  </si>
  <si>
    <t>Геймпад</t>
  </si>
  <si>
    <t>Воронов Д.</t>
  </si>
  <si>
    <t>Колонка</t>
  </si>
  <si>
    <t>Гусев М.</t>
  </si>
  <si>
    <t>Сорокина Л.</t>
  </si>
  <si>
    <t>Тарасов В.</t>
  </si>
  <si>
    <t>Михайлова Е.</t>
  </si>
  <si>
    <t>Сумма_выручки</t>
  </si>
  <si>
    <t>Средний_чек</t>
  </si>
  <si>
    <t>Кол_во_клиентов</t>
  </si>
  <si>
    <t>Выручка</t>
  </si>
  <si>
    <t>Название_месяца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</si>
  <si>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</si>
  <si>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</si>
  <si>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</si>
  <si>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</si>
  <si>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</si>
  <si>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</si>
  <si>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</si>
  <si>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Region</t>
  </si>
  <si>
    <t>Москва</t>
  </si>
  <si>
    <t>Краснодар</t>
  </si>
  <si>
    <t>Санкт-Петербург</t>
  </si>
  <si>
    <t>Екатеринбург</t>
  </si>
  <si>
    <t>Владивосток</t>
  </si>
  <si>
    <t>Новосибирск</t>
  </si>
  <si>
    <t>Казань</t>
  </si>
  <si>
    <t>Названия строк</t>
  </si>
  <si>
    <t>Общий итог</t>
  </si>
  <si>
    <t>Сумма по полю 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</si>
</sst>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Продажи_по_Категориям!$B$1</c:f>
              <c:strCache>
                <c:ptCount val="1"/>
                <c:pt idx="0">
                  <c:v>Сумма_выручки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Продажи_по_Категориям!$A$2:$A$7</c:f>
              <c:strCache>
                <c:ptCount val="6"/>
                <c:pt idx="0">
                  <c:v>Техника</c:v>
                </c:pt>
                <c:pt idx="1">
                  <c:v>Аксессуары</c:v>
                </c:pt>
                <c:pt idx="2">
                  <c:v>Мебель</c:v>
                </c:pt>
                <c:pt idx="3">
                  <c:v>Товары для дома</c:v>
                </c:pt>
                <c:pt idx="4">
                  <c:v>Одежда</c:v>
                </c:pt>
                <c:pt idx="5">
                  <c:v>Книги</c:v>
                </c:pt>
              </c:strCache>
            </c:strRef>
          </c:cat>
          <c:val>
            <c:numRef>
              <c:f>Продажи_по_Категориям!$B$2:$B$7</c:f>
              <c:numCache>
                <c:formatCode>General</c:formatCode>
                <c:ptCount val="6"/>
                <c:pt idx="0">
                  <c:v>475060</c:v>
                </c:pt>
                <c:pt idx="1">
                  <c:v>23655</c:v>
                </c:pt>
                <c:pt idx="2">
                  <c:v>20430</c:v>
                </c:pt>
                <c:pt idx="3">
                  <c:v>7360</c:v>
                </c:pt>
                <c:pt idx="4">
                  <c:v>2780</c:v>
                </c:pt>
                <c:pt idx="5">
                  <c:v>1830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4-49D7-819E-2D38DA4D8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Топ5_Товаров!$B$1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Топ5_Товаров!$A$2:$A$6</c:f>
              <c:strCache>
                <c:ptCount val="5"/>
                <c:pt idx="0">
                  <c:v>Ноутбук</c:v>
                </c:pt>
                <c:pt idx="1">
                  <c:v>Смартфон</c:v>
                </c:pt>
                <c:pt idx="2">
                  <c:v>Планшет</c:v>
                </c:pt>
                <c:pt idx="3">
                  <c:v>Монитор</c:v>
                </c:pt>
                <c:pt idx="4">
                  <c:v>Принтер</c:v>
                </c:pt>
              </c:strCache>
            </c:strRef>
          </c:cat>
          <c:val>
            <c:numRef>
              <c:f>Топ5_Товаров!$B$2:$B$6</c:f>
              <c:numCache>
                <c:formatCode>General</c:formatCode>
                <c:ptCount val="5"/>
                <c:pt idx="0">
                  <c:v>145420</c:v>
                </c:pt>
                <c:pt idx="1">
                  <c:v>120100</c:v>
                </c:pt>
                <c:pt idx="2">
                  <c:v>60060</c:v>
                </c:pt>
                <c:pt idx="3">
                  <c:v>58350</c:v>
                </c:pt>
                <c:pt idx="4">
                  <c:v>28650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B-46F3-B0F3-585C8F50A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40256"/>
        <c:axId val="194444416"/>
      </c:barChart>
      <c:catAx>
        <c:axId val="19444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444416"/>
        <c:crosses val="autoZero"/>
        <c:auto val="1"/>
        <c:lblAlgn val="ctr"/>
        <c:lblOffset val="100"/>
        <c:noMultiLvlLbl val="0"/>
      </c:catAx>
      <c:valAx>
        <c:axId val="19444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44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[Тестовое Power Query.xlsx]Динамика_по_Месяцам!Сводная таблица2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Динамика_по_Месяцам!$F$1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Динамика_по_Месяцам!$E$2:$E$9</c:f>
              <c:strCache>
                <c:ptCount val="7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</c:strCache>
            </c:strRef>
          </c:cat>
          <c:val>
            <c:numRef>
              <c:f>Динамика_по_Месяцам!$F$2:$F$9</c:f>
              <c:numCache>
                <c:formatCode>General</c:formatCode>
                <c:ptCount val="7"/>
                <c:pt idx="0">
                  <c:v>203100</c:v>
                </c:pt>
                <c:pt idx="1">
                  <c:v>59355</c:v>
                </c:pt>
                <c:pt idx="2">
                  <c:v>20305</c:v>
                </c:pt>
                <c:pt idx="3">
                  <c:v>96320</c:v>
                </c:pt>
                <c:pt idx="4">
                  <c:v>77920</c:v>
                </c:pt>
                <c:pt idx="5">
                  <c:v>53810</c:v>
                </c:pt>
                <c:pt idx="6">
                  <c:v>20305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3-444B-8204-C27BA6EDE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36592"/>
        <c:axId val="92437008"/>
      </c:barChart>
      <c:catAx>
        <c:axId val="9243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437008"/>
        <c:crosses val="autoZero"/>
        <c:auto val="1"/>
        <c:lblAlgn val="ctr"/>
        <c:lblOffset val="100"/>
        <c:noMultiLvlLbl val="0"/>
      </c:catAx>
      <c:valAx>
        <c:axId val="924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4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[Тестовое Power Query.xlsx]Выручка_по_Регионам!Сводная таблица3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Выручка_по_Регионам!$E$1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Выручка_по_Регионам!$D$2:$D$9</c:f>
              <c:strCache>
                <c:ptCount val="7"/>
                <c:pt idx="0">
                  <c:v>Владивосток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Краснодар</c:v>
                </c:pt>
                <c:pt idx="4">
                  <c:v>Москва</c:v>
                </c:pt>
                <c:pt idx="5">
                  <c:v>Новосибирск</c:v>
                </c:pt>
                <c:pt idx="6">
                  <c:v>Санкт-Петербург</c:v>
                </c:pt>
              </c:strCache>
            </c:strRef>
          </c:cat>
          <c:val>
            <c:numRef>
              <c:f>Выручка_по_Регионам!$E$2:$E$9</c:f>
              <c:numCache>
                <c:formatCode>General</c:formatCode>
                <c:ptCount val="7"/>
                <c:pt idx="0">
                  <c:v>75190</c:v>
                </c:pt>
                <c:pt idx="1">
                  <c:v>77080</c:v>
                </c:pt>
                <c:pt idx="2">
                  <c:v>19245</c:v>
                </c:pt>
                <c:pt idx="3">
                  <c:v>94045</c:v>
                </c:pt>
                <c:pt idx="4">
                  <c:v>137150</c:v>
                </c:pt>
                <c:pt idx="5">
                  <c:v>35245</c:v>
                </c:pt>
                <c:pt idx="6">
                  <c:v>93160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4-4F7E-8E1D-49BBAE891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3687440"/>
        <c:axId val="703687856"/>
      </c:barChart>
      <c:catAx>
        <c:axId val="70368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687856"/>
        <c:crosses val="autoZero"/>
        <c:auto val="1"/>
        <c:lblAlgn val="ctr"/>
        <c:lblOffset val="100"/>
        <c:noMultiLvlLbl val="0"/>
      </c:catAx>
      <c:valAx>
        <c:axId val="70368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6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</xdr:row>
      <xdr:rowOff>176212</xdr:rowOff>
    </xdr:from>
    <xdr:to>
      <xdr:col>12</xdr:col>
      <xdr:colOff>152400</xdr:colOff>
      <xdr:row>17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58887EE-5B6B-4433-9656-210F99F6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61912</xdr:rowOff>
    </xdr:from>
    <xdr:to>
      <xdr:col>10</xdr:col>
      <xdr:colOff>314325</xdr:colOff>
      <xdr:row>14</xdr:row>
      <xdr:rowOff>138112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900A08-21DC-4624-B455-EF4FDF636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0</xdr:row>
      <xdr:rowOff>166687</xdr:rowOff>
    </xdr:from>
    <xdr:to>
      <xdr:col>13</xdr:col>
      <xdr:colOff>552450</xdr:colOff>
      <xdr:row>15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3EDC98-6A74-4800-9015-46E236AA7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0</xdr:row>
      <xdr:rowOff>23812</xdr:rowOff>
    </xdr:from>
    <xdr:to>
      <xdr:col>12</xdr:col>
      <xdr:colOff>590550</xdr:colOff>
      <xdr:row>14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988A9E-E331-421B-A384-2BF131169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k" refreshedDate="46156.48420752315" createdVersion="7" refreshedVersion="7" minRefreshableVersion="3" recordCount="7" xr:uid="{02B0EC6D-4719-439D-94CE-599D8C4BD9F7}">
  <cacheSource type="worksheet">
    <worksheetSource name="Динамика_по_Месяцам"/>
  </cacheSource>
  <cacheFields count="3">
    <cacheField name="Month" numFmtId="0">
      <sharedItems containsSemiMixedTypes="0" containsString="0" containsNumber="1" containsInteger="1" minValue="1" maxValue="7"/>
    </cacheField>
    <cacheField name="Выручка" numFmtId="0">
      <sharedItems containsSemiMixedTypes="0" containsString="0" containsNumber="1" containsInteger="1" minValue="20305" maxValue="203100"/>
    </cacheField>
    <cacheField name="Название_месяца" numFmtId="0">
      <sharedItems count="7">
        <s v="Январь"/>
        <s v="Февраль"/>
        <s v="Март"/>
        <s v="Апрель"/>
        <s v="Май"/>
        <s v="Июнь"/>
        <s v="Июль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k" refreshedDate="46156.485831134261" createdVersion="7" refreshedVersion="7" minRefreshableVersion="3" recordCount="7" xr:uid="{D40214F8-A196-4CEC-9F2C-41F22BD7444D}">
  <cacheSource type="worksheet">
    <worksheetSource name="Выручка_по_Регионам"/>
  </cacheSource>
  <cacheFields count="2">
    <cacheField name="Region" numFmtId="0">
      <sharedItems count="7">
        <s v="Москва"/>
        <s v="Краснодар"/>
        <s v="Санкт-Петербург"/>
        <s v="Екатеринбург"/>
        <s v="Владивосток"/>
        <s v="Новосибирск"/>
        <s v="Казань"/>
      </sharedItems>
    </cacheField>
    <cacheField name="Выручка" numFmtId="0">
      <sharedItems containsSemiMixedTypes="0" containsString="0" containsNumber="1" containsInteger="1" minValue="19245" maxValue="137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n v="203100"/>
    <x v="0"/>
  </r>
  <r>
    <n v="2"/>
    <n v="59355"/>
    <x v="1"/>
  </r>
  <r>
    <n v="3"/>
    <n v="20305"/>
    <x v="2"/>
  </r>
  <r>
    <n v="4"/>
    <n v="96320"/>
    <x v="3"/>
  </r>
  <r>
    <n v="5"/>
    <n v="77920"/>
    <x v="4"/>
  </r>
  <r>
    <n v="6"/>
    <n v="53810"/>
    <x v="5"/>
  </r>
  <r>
    <n v="7"/>
    <n v="20305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37150"/>
  </r>
  <r>
    <x v="1"/>
    <n v="94045"/>
  </r>
  <r>
    <x v="2"/>
    <n v="93160"/>
  </r>
  <r>
    <x v="3"/>
    <n v="77080"/>
  </r>
  <r>
    <x v="4"/>
    <n v="75190"/>
  </r>
  <r>
    <x v="5"/>
    <n v="35245"/>
  </r>
  <r>
    <x v="6"/>
    <n v="192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F1024-C266-4B98-A83B-5443B297D39D}" name="Сводная таблица2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E1:F9" firstHeaderRow="1" firstDataRow="1" firstDataCol="1"/>
  <pivotFields count="3">
    <pivotField showAll="0"/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умма по полю Выручка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9806D-85E9-4115-82DE-F7A67FAF9E51}" name="Сводная таблица3" cacheId="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D1:E9" firstHeaderRow="1" firstDataRow="1" firstDataCol="1"/>
  <pivotFields count="2">
    <pivotField axis="axisRow" showAll="0">
      <items count="8">
        <item x="4"/>
        <item x="3"/>
        <item x="6"/>
        <item x="1"/>
        <item x="0"/>
        <item x="5"/>
        <item x="2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умма по полю Выручка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AAF3236-7791-4E31-AB7C-2582ACAF0C09}" autoFormatId="16" applyNumberFormats="0" applyBorderFormats="0" applyFontFormats="0" applyPatternFormats="0" applyAlignmentFormats="0" applyWidthHeightFormats="0">
  <queryTableRefresh nextId="13">
    <queryTableFields count="12">
      <queryTableField id="1" name="OrderID" tableColumnId="1"/>
      <queryTableField id="2" name="OrderDate" tableColumnId="2"/>
      <queryTableField id="3" name="CustomerName" tableColumnId="3"/>
      <queryTableField id="4" name="Product" tableColumnId="4"/>
      <queryTableField id="5" name="Category" tableColumnId="5"/>
      <queryTableField id="6" name="Price" tableColumnId="6"/>
      <queryTableField id="7" name="Quantity" tableColumnId="7"/>
      <queryTableField id="8" name="Discount" tableColumnId="8"/>
      <queryTableField id="9" name="DeliveryCost" tableColumnId="9"/>
      <queryTableField id="10" name="Returned" tableColumnId="10"/>
      <queryTableField id="11" name="Revenue" tableColumnId="11"/>
      <queryTableField id="12" name="Month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B6697877-7389-4B3A-BA35-597D9CAE5C0D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Сумма_выручки" tableColumnId="2"/>
      <queryTableField id="3" name="Средний_чек" tableColumnId="3"/>
      <queryTableField id="4" name="Кол_во_клиентов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B15DB71B-80CC-4945-833F-140A2F0AEB11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1"/>
      <queryTableField id="2" name="Выручка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62B0D304-E62D-4AFD-9FC2-002BDE3CDE22}" autoFormatId="16" applyNumberFormats="0" applyBorderFormats="0" applyFontFormats="0" applyPatternFormats="0" applyAlignmentFormats="0" applyWidthHeightFormats="0">
  <queryTableRefresh nextId="13">
    <queryTableFields count="12">
      <queryTableField id="1" name="OrderID" tableColumnId="1"/>
      <queryTableField id="2" name="OrderDate" tableColumnId="2"/>
      <queryTableField id="3" name="CustomerName" tableColumnId="3"/>
      <queryTableField id="4" name="Product" tableColumnId="4"/>
      <queryTableField id="5" name="Category" tableColumnId="5"/>
      <queryTableField id="6" name="Price" tableColumnId="6"/>
      <queryTableField id="7" name="Quantity" tableColumnId="7"/>
      <queryTableField id="8" name="Discount" tableColumnId="8"/>
      <queryTableField id="9" name="DeliveryCost" tableColumnId="9"/>
      <queryTableField id="10" name="Returned" tableColumnId="10"/>
      <queryTableField id="11" name="Revenue" tableColumnId="11"/>
      <queryTableField id="12" name="Month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27DA7F73-4362-41B3-AD93-4A146912D818}" autoFormatId="16" applyNumberFormats="0" applyBorderFormats="0" applyFontFormats="0" applyPatternFormats="0" applyAlignmentFormats="0" applyWidthHeightFormats="0">
  <queryTableRefresh nextId="13">
    <queryTableFields count="12">
      <queryTableField id="1" name="OrderID" tableColumnId="1"/>
      <queryTableField id="2" name="OrderDate" tableColumnId="2"/>
      <queryTableField id="3" name="CustomerName" tableColumnId="3"/>
      <queryTableField id="4" name="Product" tableColumnId="4"/>
      <queryTableField id="5" name="Category" tableColumnId="5"/>
      <queryTableField id="6" name="Price" tableColumnId="6"/>
      <queryTableField id="7" name="Quantity" tableColumnId="7"/>
      <queryTableField id="8" name="Discount" tableColumnId="8"/>
      <queryTableField id="9" name="DeliveryCost" tableColumnId="9"/>
      <queryTableField id="10" name="Returned" tableColumnId="10"/>
      <queryTableField id="11" name="Revenue" tableColumnId="11"/>
      <queryTableField id="12" name="Month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5E1E3E6-1951-402B-BD61-6948BD5B8A21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Выручка" tableColumnId="2"/>
      <queryTableField id="3" name="Название_месяца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FF2CA3FE-57E1-4FED-8894-60B373B5E5A4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Выручка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E4C08-669B-4B6B-BEED-D06C3B103D9E}" name="Витрина_Данных" displayName="Витрина_Данных" ref="A1:L41" tableType="queryTable" totalsRowShown="0">
  <autoFilter ref="A1:L41" xr:uid="{EE4E4C08-669B-4B6B-BEED-D06C3B103D9E}"/>
  <tableColumns count="12">
    <tableColumn id="1" xr3:uid="{F306B2E2-50CE-4A62-ABBF-3915BDD4259C}" uniqueName="1" name="OrderID" queryTableFieldId="1"/>
    <tableColumn id="2" xr3:uid="{AF0750E3-67B9-4684-9984-2E3FA99858F4}" uniqueName="2" name="OrderDate" queryTableFieldId="2" dataDxfId="18"/>
    <tableColumn id="3" xr3:uid="{EDE4ED52-7B6C-4633-8C62-80587DC533C3}" uniqueName="3" name="CustomerName" queryTableFieldId="3" dataDxfId="17"/>
    <tableColumn id="4" xr3:uid="{3E14EAE5-2698-4605-B80C-AFE166A6A588}" uniqueName="4" name="Product" queryTableFieldId="4" dataDxfId="16"/>
    <tableColumn id="5" xr3:uid="{E6D3B0FD-F0D8-408E-A682-B1E458E29CE6}" uniqueName="5" name="Category" queryTableFieldId="5" dataDxfId="15"/>
    <tableColumn id="6" xr3:uid="{B033C11A-C549-4991-9A69-0AD26D70C46D}" uniqueName="6" name="Price" queryTableFieldId="6"/>
    <tableColumn id="7" xr3:uid="{DAEAC669-075E-42B9-B2B4-C177D29E800D}" uniqueName="7" name="Quantity" queryTableFieldId="7"/>
    <tableColumn id="8" xr3:uid="{3762FA9C-E7B4-4F43-9BA8-B64260403EEC}" uniqueName="8" name="Discount" queryTableFieldId="8"/>
    <tableColumn id="9" xr3:uid="{40E3E641-529A-452C-BF6C-E129F32DF17F}" uniqueName="9" name="DeliveryCost" queryTableFieldId="9"/>
    <tableColumn id="10" xr3:uid="{C40AF96E-239C-4A76-9773-D14EC58A3C31}" uniqueName="10" name="Returned" queryTableFieldId="10" dataDxfId="14"/>
    <tableColumn id="11" xr3:uid="{1A484BB6-6022-45F2-BAD8-DB54C76F81EB}" uniqueName="11" name="Revenue" queryTableFieldId="11"/>
    <tableColumn id="12" xr3:uid="{C56E8851-31F0-4377-9EBE-7B72E552E8EB}" uniqueName="12" name="Month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3AFF8A-EDD6-4DAF-9073-3DE79F487124}" name="Продажи_по_Категориям" displayName="Продажи_по_Категориям" ref="A1:D7" tableType="queryTable" totalsRowShown="0">
  <autoFilter ref="A1:D7" xr:uid="{E93AFF8A-EDD6-4DAF-9073-3DE79F487124}"/>
  <tableColumns count="4">
    <tableColumn id="1" xr3:uid="{F835C42C-D02E-487C-94D3-C36259A9E445}" uniqueName="1" name="Category" queryTableFieldId="1" dataDxfId="0"/>
    <tableColumn id="2" xr3:uid="{4C2021FA-8854-4D99-AE86-033F368D3985}" uniqueName="2" name="Сумма_выручки" queryTableFieldId="2"/>
    <tableColumn id="3" xr3:uid="{62783B68-884B-4796-A1F5-CFF706FC445B}" uniqueName="3" name="Средний_чек" queryTableFieldId="3"/>
    <tableColumn id="4" xr3:uid="{90FA17EC-0B95-4711-962C-0589AFC6BAA1}" uniqueName="4" name="Кол_во_клиентов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2601AC-F14E-4217-9E09-2A7DD72B7E1D}" name="Топ5_Товаров" displayName="Топ5_Товаров" ref="A1:B6" tableType="queryTable" totalsRowShown="0">
  <autoFilter ref="A1:B6" xr:uid="{CD2601AC-F14E-4217-9E09-2A7DD72B7E1D}"/>
  <tableColumns count="2">
    <tableColumn id="1" xr3:uid="{31C09025-1B5B-4FD1-A04B-E05596BBD95B}" uniqueName="1" name="Product" queryTableFieldId="1" dataDxfId="13"/>
    <tableColumn id="2" xr3:uid="{F06A683A-77FB-49E4-B4C7-A42782C0F5C8}" uniqueName="2" name="Выручка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38C25A-51CD-49D6-8CD1-FFEA458C50A1}" name="VIP_Клиенты" displayName="VIP_Клиенты" ref="A1:L11" tableType="queryTable" totalsRowShown="0">
  <autoFilter ref="A1:L11" xr:uid="{2F38C25A-51CD-49D6-8CD1-FFEA458C50A1}"/>
  <tableColumns count="12">
    <tableColumn id="1" xr3:uid="{923BE9DA-5E21-43DA-9AE3-8585D0C53B6C}" uniqueName="1" name="OrderID" queryTableFieldId="1"/>
    <tableColumn id="2" xr3:uid="{A5D25866-B096-4431-9066-B964A8118072}" uniqueName="2" name="OrderDate" queryTableFieldId="2" dataDxfId="12"/>
    <tableColumn id="3" xr3:uid="{F7AE1710-5137-44D4-9410-6662624B17C1}" uniqueName="3" name="CustomerName" queryTableFieldId="3" dataDxfId="11"/>
    <tableColumn id="4" xr3:uid="{D5A324C8-72B6-4546-B513-DF16A4D8E998}" uniqueName="4" name="Product" queryTableFieldId="4" dataDxfId="10"/>
    <tableColumn id="5" xr3:uid="{64C173DA-338F-4E27-9EF1-B91D27A4CDA8}" uniqueName="5" name="Category" queryTableFieldId="5" dataDxfId="9"/>
    <tableColumn id="6" xr3:uid="{43E31A81-FB9C-4EA6-A81C-8216F973A6E6}" uniqueName="6" name="Price" queryTableFieldId="6"/>
    <tableColumn id="7" xr3:uid="{1AC6B165-F3D1-4712-A0D6-8BE5BAEA95A3}" uniqueName="7" name="Quantity" queryTableFieldId="7"/>
    <tableColumn id="8" xr3:uid="{49022E45-67FF-4849-B0D9-C9E43F106349}" uniqueName="8" name="Discount" queryTableFieldId="8"/>
    <tableColumn id="9" xr3:uid="{5D608CA5-E8D9-4F30-8861-76EA1A2EE751}" uniqueName="9" name="DeliveryCost" queryTableFieldId="9"/>
    <tableColumn id="10" xr3:uid="{5E0B71BC-5877-46B6-B06B-2C579BCD31D1}" uniqueName="10" name="Returned" queryTableFieldId="10" dataDxfId="8"/>
    <tableColumn id="11" xr3:uid="{BDF8959F-EFCA-4358-90B8-E8505F9EB736}" uniqueName="11" name="Revenue" queryTableFieldId="11"/>
    <tableColumn id="12" xr3:uid="{FD41CAC9-A6AF-4999-9FC9-A0D2F9681664}" uniqueName="12" name="Month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DB4880-A73E-448E-900C-D82A6B31BBA0}" name="Новые_Клиенты" displayName="Новые_Клиенты" ref="A1:L10" tableType="queryTable" totalsRowShown="0">
  <autoFilter ref="A1:L10" xr:uid="{B3DB4880-A73E-448E-900C-D82A6B31BBA0}"/>
  <tableColumns count="12">
    <tableColumn id="1" xr3:uid="{4493BB7E-C2C4-44FF-9F94-3DF005B8A1CF}" uniqueName="1" name="OrderID" queryTableFieldId="1"/>
    <tableColumn id="2" xr3:uid="{3D96888A-06BD-428B-B830-7CC00ED7EF15}" uniqueName="2" name="OrderDate" queryTableFieldId="2" dataDxfId="7"/>
    <tableColumn id="3" xr3:uid="{E51879FC-AA47-4B7D-AEEC-525C51F03EB3}" uniqueName="3" name="CustomerName" queryTableFieldId="3" dataDxfId="6"/>
    <tableColumn id="4" xr3:uid="{659C8BD8-D7EE-45B6-83DD-CFB03F14DB06}" uniqueName="4" name="Product" queryTableFieldId="4" dataDxfId="5"/>
    <tableColumn id="5" xr3:uid="{8C2C1846-1622-494F-9E7F-474D22909AE1}" uniqueName="5" name="Category" queryTableFieldId="5" dataDxfId="4"/>
    <tableColumn id="6" xr3:uid="{737BB55E-E08D-48C7-B85A-7A0FE9B8B646}" uniqueName="6" name="Price" queryTableFieldId="6"/>
    <tableColumn id="7" xr3:uid="{7BF62E69-7BDB-4723-8C9D-A2CA5253D345}" uniqueName="7" name="Quantity" queryTableFieldId="7"/>
    <tableColumn id="8" xr3:uid="{EB526E24-B2E4-40E7-B3E5-457282E993D2}" uniqueName="8" name="Discount" queryTableFieldId="8"/>
    <tableColumn id="9" xr3:uid="{58CA4D7E-C0A2-4A8D-8E34-EDE3C27AAD31}" uniqueName="9" name="DeliveryCost" queryTableFieldId="9"/>
    <tableColumn id="10" xr3:uid="{9A16BE3A-75F9-4518-AAC2-B280911CC74E}" uniqueName="10" name="Returned" queryTableFieldId="10" dataDxfId="3"/>
    <tableColumn id="11" xr3:uid="{ACDDDE02-8CFD-4945-8702-4922AEF03B3D}" uniqueName="11" name="Revenue" queryTableFieldId="11"/>
    <tableColumn id="12" xr3:uid="{864C2D81-0DB2-4975-A5C7-5D489CC2E8E1}" uniqueName="12" name="Month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EA837F-FEF1-4AEF-B7D0-594E1E8AAB0F}" name="Динамика_по_Месяцам" displayName="Динамика_по_Месяцам" ref="A1:C8" tableType="queryTable" totalsRowShown="0">
  <autoFilter ref="A1:C8" xr:uid="{97EA837F-FEF1-4AEF-B7D0-594E1E8AAB0F}"/>
  <tableColumns count="3">
    <tableColumn id="1" xr3:uid="{B5472A68-5B73-4E07-9BA4-E86AED9971E0}" uniqueName="1" name="Month" queryTableFieldId="1"/>
    <tableColumn id="2" xr3:uid="{DA3EF49D-2B4F-4351-8064-10F982A4701E}" uniqueName="2" name="Выручка" queryTableFieldId="2"/>
    <tableColumn id="3" xr3:uid="{E2DDDFF4-CE5D-4936-8384-8D357F224832}" uniqueName="3" name="Название_месяца" queryTableFieldId="3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A0ABF3-6B0B-4FEF-8F43-32D0D680CE98}" name="Выручка_по_Регионам" displayName="Выручка_по_Регионам" ref="A1:B8" tableType="queryTable" totalsRowShown="0">
  <autoFilter ref="A1:B8" xr:uid="{AEA0ABF3-6B0B-4FEF-8F43-32D0D680CE98}"/>
  <tableColumns count="2">
    <tableColumn id="1" xr3:uid="{C9E1D9A8-A18C-47B2-AF87-D911F1064396}" uniqueName="1" name="Region" queryTableFieldId="1" dataDxfId="1"/>
    <tableColumn id="2" xr3:uid="{C737BE0F-D3C0-473C-AAD4-8DFB36C23619}" uniqueName="2" name="Выручка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BC5B-B910-43B3-A445-F1F8608F15F1}">
  <dimension ref="A1:L41"/>
  <sheetViews>
    <sheetView workbookViewId="0"/>
  </sheetViews>
  <sheetFormatPr defaultRowHeight="15" x14ac:dyDescent="0.25"/>
  <cols>
    <col min="1" max="1" width="10.28515625" bestFit="1" customWidth="1"/>
    <col min="2" max="2" width="12.5703125" bestFit="1" customWidth="1"/>
    <col min="3" max="3" width="17.28515625" bestFit="1" customWidth="1"/>
    <col min="4" max="4" width="11.42578125" bestFit="1" customWidth="1"/>
    <col min="5" max="5" width="16.7109375" bestFit="1" customWidth="1"/>
    <col min="6" max="6" width="7.7109375" bestFit="1" customWidth="1"/>
    <col min="7" max="8" width="11" bestFit="1" customWidth="1"/>
    <col min="9" max="9" width="14.5703125" bestFit="1" customWidth="1"/>
    <col min="10" max="10" width="11.5703125" bestFit="1" customWidth="1"/>
    <col min="11" max="11" width="11.140625" bestFit="1" customWidth="1"/>
    <col min="12" max="12" width="9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1001</v>
      </c>
      <c r="B2" s="1">
        <v>44931</v>
      </c>
      <c r="C2" s="2" t="s">
        <v>12</v>
      </c>
      <c r="D2" s="2" t="s">
        <v>13</v>
      </c>
      <c r="E2" s="2" t="s">
        <v>14</v>
      </c>
      <c r="F2">
        <v>75000</v>
      </c>
      <c r="G2">
        <v>1</v>
      </c>
      <c r="H2">
        <v>0.05</v>
      </c>
      <c r="I2">
        <v>500</v>
      </c>
      <c r="J2" s="2" t="s">
        <v>15</v>
      </c>
      <c r="K2">
        <v>70750</v>
      </c>
      <c r="L2">
        <v>1</v>
      </c>
    </row>
    <row r="3" spans="1:12" x14ac:dyDescent="0.25">
      <c r="A3">
        <v>1026</v>
      </c>
      <c r="B3" s="1">
        <v>45041</v>
      </c>
      <c r="C3" s="2" t="s">
        <v>16</v>
      </c>
      <c r="D3" s="2" t="s">
        <v>13</v>
      </c>
      <c r="E3" s="2" t="s">
        <v>14</v>
      </c>
      <c r="F3">
        <v>75000</v>
      </c>
      <c r="G3">
        <v>1</v>
      </c>
      <c r="H3">
        <v>0</v>
      </c>
      <c r="I3">
        <v>330</v>
      </c>
      <c r="J3" s="2" t="s">
        <v>15</v>
      </c>
      <c r="K3">
        <v>74670</v>
      </c>
      <c r="L3">
        <v>4</v>
      </c>
    </row>
    <row r="4" spans="1:12" x14ac:dyDescent="0.25">
      <c r="A4">
        <v>1002</v>
      </c>
      <c r="B4" s="1">
        <v>44933</v>
      </c>
      <c r="C4" s="2" t="s">
        <v>17</v>
      </c>
      <c r="D4" s="2" t="s">
        <v>18</v>
      </c>
      <c r="E4" s="2" t="s">
        <v>14</v>
      </c>
      <c r="F4">
        <v>45000</v>
      </c>
      <c r="G4">
        <v>2</v>
      </c>
      <c r="H4">
        <v>0.1</v>
      </c>
      <c r="I4">
        <v>300</v>
      </c>
      <c r="J4" s="2" t="s">
        <v>19</v>
      </c>
      <c r="K4">
        <v>80700</v>
      </c>
      <c r="L4">
        <v>1</v>
      </c>
    </row>
    <row r="5" spans="1:12" x14ac:dyDescent="0.25">
      <c r="A5">
        <v>1003</v>
      </c>
      <c r="B5" s="1">
        <v>44936</v>
      </c>
      <c r="C5" s="2" t="s">
        <v>20</v>
      </c>
      <c r="D5" s="2" t="s">
        <v>21</v>
      </c>
      <c r="E5" s="2" t="s">
        <v>22</v>
      </c>
      <c r="F5">
        <v>500</v>
      </c>
      <c r="G5">
        <v>3</v>
      </c>
      <c r="H5">
        <v>0</v>
      </c>
      <c r="I5">
        <v>200</v>
      </c>
      <c r="J5" s="2" t="s">
        <v>15</v>
      </c>
      <c r="K5">
        <v>1300</v>
      </c>
      <c r="L5">
        <v>1</v>
      </c>
    </row>
    <row r="6" spans="1:12" x14ac:dyDescent="0.25">
      <c r="A6">
        <v>1004</v>
      </c>
      <c r="B6" s="1">
        <v>44938</v>
      </c>
      <c r="C6" s="2" t="s">
        <v>23</v>
      </c>
      <c r="D6" s="2" t="s">
        <v>24</v>
      </c>
      <c r="E6" s="2" t="s">
        <v>14</v>
      </c>
      <c r="F6">
        <v>8000</v>
      </c>
      <c r="G6">
        <v>1</v>
      </c>
      <c r="H6">
        <v>0.15</v>
      </c>
      <c r="I6">
        <v>250</v>
      </c>
      <c r="J6" s="2" t="s">
        <v>15</v>
      </c>
      <c r="K6">
        <v>6550</v>
      </c>
      <c r="L6">
        <v>1</v>
      </c>
    </row>
    <row r="7" spans="1:12" x14ac:dyDescent="0.25">
      <c r="A7">
        <v>1005</v>
      </c>
      <c r="B7" s="1">
        <v>44941</v>
      </c>
      <c r="C7" s="2" t="s">
        <v>25</v>
      </c>
      <c r="D7" s="2" t="s">
        <v>26</v>
      </c>
      <c r="E7" s="2" t="s">
        <v>27</v>
      </c>
      <c r="F7">
        <v>350</v>
      </c>
      <c r="G7">
        <v>5</v>
      </c>
      <c r="H7">
        <v>0</v>
      </c>
      <c r="I7">
        <v>150</v>
      </c>
      <c r="J7" s="2" t="s">
        <v>15</v>
      </c>
      <c r="K7">
        <v>1600</v>
      </c>
      <c r="L7">
        <v>1</v>
      </c>
    </row>
    <row r="8" spans="1:12" x14ac:dyDescent="0.25">
      <c r="A8">
        <v>1006</v>
      </c>
      <c r="B8" s="1">
        <v>44946</v>
      </c>
      <c r="C8" s="2" t="s">
        <v>28</v>
      </c>
      <c r="D8" s="2" t="s">
        <v>29</v>
      </c>
      <c r="E8" s="2" t="s">
        <v>14</v>
      </c>
      <c r="F8">
        <v>32000</v>
      </c>
      <c r="G8">
        <v>1</v>
      </c>
      <c r="H8">
        <v>0.05</v>
      </c>
      <c r="I8">
        <v>400</v>
      </c>
      <c r="J8" s="2" t="s">
        <v>19</v>
      </c>
      <c r="K8">
        <v>30000</v>
      </c>
      <c r="L8">
        <v>1</v>
      </c>
    </row>
    <row r="9" spans="1:12" x14ac:dyDescent="0.25">
      <c r="A9">
        <v>1007</v>
      </c>
      <c r="B9" s="1">
        <v>44951</v>
      </c>
      <c r="C9" s="2" t="s">
        <v>30</v>
      </c>
      <c r="D9" s="2" t="s">
        <v>31</v>
      </c>
      <c r="E9" s="2" t="s">
        <v>32</v>
      </c>
      <c r="F9">
        <v>1500</v>
      </c>
      <c r="G9">
        <v>2</v>
      </c>
      <c r="H9">
        <v>0.2</v>
      </c>
      <c r="I9">
        <v>200</v>
      </c>
      <c r="J9" s="2" t="s">
        <v>15</v>
      </c>
      <c r="K9">
        <v>2200</v>
      </c>
      <c r="L9">
        <v>1</v>
      </c>
    </row>
    <row r="10" spans="1:12" x14ac:dyDescent="0.25">
      <c r="A10">
        <v>1008</v>
      </c>
      <c r="B10" s="1">
        <v>44956</v>
      </c>
      <c r="C10" s="2" t="s">
        <v>33</v>
      </c>
      <c r="D10" s="2" t="s">
        <v>34</v>
      </c>
      <c r="E10" s="2" t="s">
        <v>35</v>
      </c>
      <c r="F10">
        <v>12000</v>
      </c>
      <c r="G10">
        <v>1</v>
      </c>
      <c r="H10">
        <v>0.1</v>
      </c>
      <c r="I10">
        <v>800</v>
      </c>
      <c r="J10" s="2" t="s">
        <v>15</v>
      </c>
      <c r="K10">
        <v>10000</v>
      </c>
      <c r="L10">
        <v>1</v>
      </c>
    </row>
    <row r="11" spans="1:12" x14ac:dyDescent="0.25">
      <c r="A11">
        <v>1009</v>
      </c>
      <c r="B11" s="1">
        <v>44959</v>
      </c>
      <c r="C11" s="2" t="s">
        <v>36</v>
      </c>
      <c r="D11" s="2" t="s">
        <v>37</v>
      </c>
      <c r="E11" s="2" t="s">
        <v>14</v>
      </c>
      <c r="F11">
        <v>30000</v>
      </c>
      <c r="G11">
        <v>1</v>
      </c>
      <c r="H11">
        <v>0</v>
      </c>
      <c r="I11">
        <v>600</v>
      </c>
      <c r="J11" s="2" t="s">
        <v>15</v>
      </c>
      <c r="K11">
        <v>29400</v>
      </c>
      <c r="L11">
        <v>2</v>
      </c>
    </row>
    <row r="12" spans="1:12" x14ac:dyDescent="0.25">
      <c r="A12">
        <v>1010</v>
      </c>
      <c r="B12" s="1">
        <v>44962</v>
      </c>
      <c r="C12" s="2" t="s">
        <v>38</v>
      </c>
      <c r="D12" s="2" t="s">
        <v>39</v>
      </c>
      <c r="E12" s="2" t="s">
        <v>14</v>
      </c>
      <c r="F12">
        <v>2500</v>
      </c>
      <c r="G12">
        <v>1</v>
      </c>
      <c r="H12">
        <v>0.05</v>
      </c>
      <c r="I12">
        <v>150</v>
      </c>
      <c r="J12" s="2" t="s">
        <v>19</v>
      </c>
      <c r="K12">
        <v>2225</v>
      </c>
      <c r="L12">
        <v>2</v>
      </c>
    </row>
    <row r="13" spans="1:12" x14ac:dyDescent="0.25">
      <c r="A13">
        <v>1011</v>
      </c>
      <c r="B13" s="1">
        <v>44967</v>
      </c>
      <c r="C13" s="2" t="s">
        <v>40</v>
      </c>
      <c r="D13" s="2" t="s">
        <v>41</v>
      </c>
      <c r="E13" s="2" t="s">
        <v>14</v>
      </c>
      <c r="F13">
        <v>1200</v>
      </c>
      <c r="G13">
        <v>1</v>
      </c>
      <c r="H13">
        <v>0</v>
      </c>
      <c r="I13">
        <v>350</v>
      </c>
      <c r="J13" s="2" t="s">
        <v>15</v>
      </c>
      <c r="K13">
        <v>850</v>
      </c>
      <c r="L13">
        <v>2</v>
      </c>
    </row>
    <row r="14" spans="1:12" x14ac:dyDescent="0.25">
      <c r="A14">
        <v>1012</v>
      </c>
      <c r="B14" s="1">
        <v>44972</v>
      </c>
      <c r="C14" s="2" t="s">
        <v>42</v>
      </c>
      <c r="D14" s="2" t="s">
        <v>43</v>
      </c>
      <c r="E14" s="2" t="s">
        <v>44</v>
      </c>
      <c r="F14">
        <v>3500</v>
      </c>
      <c r="G14">
        <v>2</v>
      </c>
      <c r="H14">
        <v>0.15</v>
      </c>
      <c r="I14">
        <v>1200</v>
      </c>
      <c r="J14" s="2" t="s">
        <v>15</v>
      </c>
      <c r="K14">
        <v>4750</v>
      </c>
      <c r="L14">
        <v>2</v>
      </c>
    </row>
    <row r="15" spans="1:12" x14ac:dyDescent="0.25">
      <c r="A15">
        <v>1013</v>
      </c>
      <c r="B15" s="1">
        <v>44977</v>
      </c>
      <c r="C15" s="2" t="s">
        <v>45</v>
      </c>
      <c r="D15" s="2" t="s">
        <v>46</v>
      </c>
      <c r="E15" s="2" t="s">
        <v>44</v>
      </c>
      <c r="F15">
        <v>8900</v>
      </c>
      <c r="G15">
        <v>1</v>
      </c>
      <c r="H15">
        <v>0.1</v>
      </c>
      <c r="I15">
        <v>180</v>
      </c>
      <c r="J15" s="2" t="s">
        <v>19</v>
      </c>
      <c r="K15">
        <v>7830</v>
      </c>
      <c r="L15">
        <v>2</v>
      </c>
    </row>
    <row r="16" spans="1:12" x14ac:dyDescent="0.25">
      <c r="A16">
        <v>1014</v>
      </c>
      <c r="B16" s="1">
        <v>44982</v>
      </c>
      <c r="C16" s="2" t="s">
        <v>47</v>
      </c>
      <c r="D16" s="2" t="s">
        <v>48</v>
      </c>
      <c r="E16" s="2" t="s">
        <v>14</v>
      </c>
      <c r="F16">
        <v>15000</v>
      </c>
      <c r="G16">
        <v>1</v>
      </c>
      <c r="H16">
        <v>0</v>
      </c>
      <c r="I16">
        <v>700</v>
      </c>
      <c r="J16" s="2" t="s">
        <v>15</v>
      </c>
      <c r="K16">
        <v>14300</v>
      </c>
      <c r="L16">
        <v>2</v>
      </c>
    </row>
    <row r="17" spans="1:12" x14ac:dyDescent="0.25">
      <c r="A17">
        <v>1015</v>
      </c>
      <c r="B17" s="1">
        <v>44986</v>
      </c>
      <c r="C17" s="2" t="s">
        <v>49</v>
      </c>
      <c r="D17" s="2" t="s">
        <v>50</v>
      </c>
      <c r="E17" s="2" t="s">
        <v>14</v>
      </c>
      <c r="F17">
        <v>6700</v>
      </c>
      <c r="G17">
        <v>1</v>
      </c>
      <c r="H17">
        <v>0.05</v>
      </c>
      <c r="I17">
        <v>220</v>
      </c>
      <c r="J17" s="2" t="s">
        <v>15</v>
      </c>
      <c r="K17">
        <v>6145</v>
      </c>
      <c r="L17">
        <v>3</v>
      </c>
    </row>
    <row r="18" spans="1:12" x14ac:dyDescent="0.25">
      <c r="A18">
        <v>1016</v>
      </c>
      <c r="B18" s="1">
        <v>44990</v>
      </c>
      <c r="C18" s="2" t="s">
        <v>51</v>
      </c>
      <c r="D18" s="2" t="s">
        <v>52</v>
      </c>
      <c r="E18" s="2" t="s">
        <v>14</v>
      </c>
      <c r="F18">
        <v>4500</v>
      </c>
      <c r="G18">
        <v>1</v>
      </c>
      <c r="H18">
        <v>0</v>
      </c>
      <c r="I18">
        <v>320</v>
      </c>
      <c r="J18" s="2" t="s">
        <v>19</v>
      </c>
      <c r="K18">
        <v>4180</v>
      </c>
      <c r="L18">
        <v>3</v>
      </c>
    </row>
    <row r="19" spans="1:12" x14ac:dyDescent="0.25">
      <c r="A19">
        <v>1017</v>
      </c>
      <c r="B19" s="1">
        <v>44995</v>
      </c>
      <c r="C19" s="2" t="s">
        <v>53</v>
      </c>
      <c r="D19" s="2" t="s">
        <v>54</v>
      </c>
      <c r="E19" s="2" t="s">
        <v>27</v>
      </c>
      <c r="F19">
        <v>2200</v>
      </c>
      <c r="G19">
        <v>3</v>
      </c>
      <c r="H19">
        <v>0.2</v>
      </c>
      <c r="I19">
        <v>280</v>
      </c>
      <c r="J19" s="2" t="s">
        <v>15</v>
      </c>
      <c r="K19">
        <v>5000</v>
      </c>
      <c r="L19">
        <v>3</v>
      </c>
    </row>
    <row r="20" spans="1:12" x14ac:dyDescent="0.25">
      <c r="A20">
        <v>1018</v>
      </c>
      <c r="B20" s="1">
        <v>45000</v>
      </c>
      <c r="C20" s="2" t="s">
        <v>55</v>
      </c>
      <c r="D20" s="2" t="s">
        <v>56</v>
      </c>
      <c r="E20" s="2" t="s">
        <v>44</v>
      </c>
      <c r="F20">
        <v>1300</v>
      </c>
      <c r="G20">
        <v>1</v>
      </c>
      <c r="H20">
        <v>0</v>
      </c>
      <c r="I20">
        <v>550</v>
      </c>
      <c r="J20" s="2" t="s">
        <v>15</v>
      </c>
      <c r="K20">
        <v>750</v>
      </c>
      <c r="L20">
        <v>3</v>
      </c>
    </row>
    <row r="21" spans="1:12" x14ac:dyDescent="0.25">
      <c r="A21">
        <v>1019</v>
      </c>
      <c r="B21" s="1">
        <v>45005</v>
      </c>
      <c r="C21" s="2" t="s">
        <v>57</v>
      </c>
      <c r="D21" s="2" t="s">
        <v>58</v>
      </c>
      <c r="E21" s="2" t="s">
        <v>14</v>
      </c>
      <c r="F21">
        <v>2800</v>
      </c>
      <c r="G21">
        <v>1</v>
      </c>
      <c r="H21">
        <v>0.1</v>
      </c>
      <c r="I21">
        <v>380</v>
      </c>
      <c r="J21" s="2" t="s">
        <v>15</v>
      </c>
      <c r="K21">
        <v>2140</v>
      </c>
      <c r="L21">
        <v>3</v>
      </c>
    </row>
    <row r="22" spans="1:12" x14ac:dyDescent="0.25">
      <c r="A22">
        <v>1020</v>
      </c>
      <c r="B22" s="1">
        <v>45010</v>
      </c>
      <c r="C22" s="2" t="s">
        <v>59</v>
      </c>
      <c r="D22" s="2" t="s">
        <v>60</v>
      </c>
      <c r="E22" s="2" t="s">
        <v>14</v>
      </c>
      <c r="F22">
        <v>3200</v>
      </c>
      <c r="G22">
        <v>1</v>
      </c>
      <c r="H22">
        <v>0.05</v>
      </c>
      <c r="I22">
        <v>950</v>
      </c>
      <c r="J22" s="2" t="s">
        <v>19</v>
      </c>
      <c r="K22">
        <v>2090</v>
      </c>
      <c r="L22">
        <v>3</v>
      </c>
    </row>
    <row r="23" spans="1:12" x14ac:dyDescent="0.25">
      <c r="A23">
        <v>1021</v>
      </c>
      <c r="B23" s="1">
        <v>45017</v>
      </c>
      <c r="C23" s="2" t="s">
        <v>61</v>
      </c>
      <c r="D23" s="2" t="s">
        <v>62</v>
      </c>
      <c r="E23" s="2" t="s">
        <v>14</v>
      </c>
      <c r="F23">
        <v>8900</v>
      </c>
      <c r="G23">
        <v>1</v>
      </c>
      <c r="H23">
        <v>0</v>
      </c>
      <c r="I23">
        <v>420</v>
      </c>
      <c r="J23" s="2" t="s">
        <v>15</v>
      </c>
      <c r="K23">
        <v>8480</v>
      </c>
      <c r="L23">
        <v>4</v>
      </c>
    </row>
    <row r="24" spans="1:12" x14ac:dyDescent="0.25">
      <c r="A24">
        <v>1022</v>
      </c>
      <c r="B24" s="1">
        <v>45021</v>
      </c>
      <c r="C24" s="2" t="s">
        <v>63</v>
      </c>
      <c r="D24" s="2" t="s">
        <v>64</v>
      </c>
      <c r="E24" s="2" t="s">
        <v>14</v>
      </c>
      <c r="F24">
        <v>3800</v>
      </c>
      <c r="G24">
        <v>1</v>
      </c>
      <c r="H24">
        <v>0.15</v>
      </c>
      <c r="I24">
        <v>190</v>
      </c>
      <c r="J24" s="2" t="s">
        <v>15</v>
      </c>
      <c r="K24">
        <v>3040</v>
      </c>
      <c r="L24">
        <v>4</v>
      </c>
    </row>
    <row r="25" spans="1:12" x14ac:dyDescent="0.25">
      <c r="A25">
        <v>1023</v>
      </c>
      <c r="B25" s="1">
        <v>45026</v>
      </c>
      <c r="C25" s="2" t="s">
        <v>65</v>
      </c>
      <c r="D25" s="2" t="s">
        <v>66</v>
      </c>
      <c r="E25" s="2" t="s">
        <v>14</v>
      </c>
      <c r="F25">
        <v>2900</v>
      </c>
      <c r="G25">
        <v>1</v>
      </c>
      <c r="H25">
        <v>0</v>
      </c>
      <c r="I25">
        <v>310</v>
      </c>
      <c r="J25" s="2" t="s">
        <v>15</v>
      </c>
      <c r="K25">
        <v>2590</v>
      </c>
      <c r="L25">
        <v>4</v>
      </c>
    </row>
    <row r="26" spans="1:12" x14ac:dyDescent="0.25">
      <c r="A26">
        <v>1024</v>
      </c>
      <c r="B26" s="1">
        <v>45031</v>
      </c>
      <c r="C26" s="2" t="s">
        <v>67</v>
      </c>
      <c r="D26" s="2" t="s">
        <v>68</v>
      </c>
      <c r="E26" s="2" t="s">
        <v>14</v>
      </c>
      <c r="F26">
        <v>3400</v>
      </c>
      <c r="G26">
        <v>1</v>
      </c>
      <c r="H26">
        <v>0.1</v>
      </c>
      <c r="I26">
        <v>260</v>
      </c>
      <c r="J26" s="2" t="s">
        <v>19</v>
      </c>
      <c r="K26">
        <v>2800</v>
      </c>
      <c r="L26">
        <v>4</v>
      </c>
    </row>
    <row r="27" spans="1:12" x14ac:dyDescent="0.25">
      <c r="A27">
        <v>1025</v>
      </c>
      <c r="B27" s="1">
        <v>45036</v>
      </c>
      <c r="C27" s="2" t="s">
        <v>69</v>
      </c>
      <c r="D27" s="2" t="s">
        <v>70</v>
      </c>
      <c r="E27" s="2" t="s">
        <v>14</v>
      </c>
      <c r="F27">
        <v>5600</v>
      </c>
      <c r="G27">
        <v>1</v>
      </c>
      <c r="H27">
        <v>0.05</v>
      </c>
      <c r="I27">
        <v>580</v>
      </c>
      <c r="J27" s="2" t="s">
        <v>15</v>
      </c>
      <c r="K27">
        <v>4740</v>
      </c>
      <c r="L27">
        <v>4</v>
      </c>
    </row>
    <row r="28" spans="1:12" x14ac:dyDescent="0.25">
      <c r="A28">
        <v>1027</v>
      </c>
      <c r="B28" s="1">
        <v>45047</v>
      </c>
      <c r="C28" s="2" t="s">
        <v>71</v>
      </c>
      <c r="D28" s="2" t="s">
        <v>18</v>
      </c>
      <c r="E28" s="2" t="s">
        <v>14</v>
      </c>
      <c r="F28">
        <v>45000</v>
      </c>
      <c r="G28">
        <v>1</v>
      </c>
      <c r="H28">
        <v>0.1</v>
      </c>
      <c r="I28">
        <v>1100</v>
      </c>
      <c r="J28" s="2" t="s">
        <v>15</v>
      </c>
      <c r="K28">
        <v>39400</v>
      </c>
      <c r="L28">
        <v>5</v>
      </c>
    </row>
    <row r="29" spans="1:12" x14ac:dyDescent="0.25">
      <c r="A29">
        <v>1028</v>
      </c>
      <c r="B29" s="1">
        <v>45051</v>
      </c>
      <c r="C29" s="2" t="s">
        <v>72</v>
      </c>
      <c r="D29" s="2" t="s">
        <v>21</v>
      </c>
      <c r="E29" s="2" t="s">
        <v>22</v>
      </c>
      <c r="F29">
        <v>500</v>
      </c>
      <c r="G29">
        <v>2</v>
      </c>
      <c r="H29">
        <v>0</v>
      </c>
      <c r="I29">
        <v>470</v>
      </c>
      <c r="J29" s="2" t="s">
        <v>19</v>
      </c>
      <c r="K29">
        <v>530</v>
      </c>
      <c r="L29">
        <v>5</v>
      </c>
    </row>
    <row r="30" spans="1:12" x14ac:dyDescent="0.25">
      <c r="A30">
        <v>1029</v>
      </c>
      <c r="B30" s="1">
        <v>45056</v>
      </c>
      <c r="C30" s="2" t="s">
        <v>73</v>
      </c>
      <c r="D30" s="2" t="s">
        <v>24</v>
      </c>
      <c r="E30" s="2" t="s">
        <v>14</v>
      </c>
      <c r="F30">
        <v>8000</v>
      </c>
      <c r="G30">
        <v>1</v>
      </c>
      <c r="H30">
        <v>0.15</v>
      </c>
      <c r="I30">
        <v>210</v>
      </c>
      <c r="J30" s="2" t="s">
        <v>15</v>
      </c>
      <c r="K30">
        <v>6590</v>
      </c>
      <c r="L30">
        <v>5</v>
      </c>
    </row>
    <row r="31" spans="1:12" x14ac:dyDescent="0.25">
      <c r="A31">
        <v>1030</v>
      </c>
      <c r="B31" s="1">
        <v>45061</v>
      </c>
      <c r="C31" s="2" t="s">
        <v>74</v>
      </c>
      <c r="D31" s="2" t="s">
        <v>26</v>
      </c>
      <c r="E31" s="2" t="s">
        <v>27</v>
      </c>
      <c r="F31">
        <v>350</v>
      </c>
      <c r="G31">
        <v>3</v>
      </c>
      <c r="H31">
        <v>0</v>
      </c>
      <c r="I31">
        <v>290</v>
      </c>
      <c r="J31" s="2" t="s">
        <v>15</v>
      </c>
      <c r="K31">
        <v>760</v>
      </c>
      <c r="L31">
        <v>5</v>
      </c>
    </row>
    <row r="32" spans="1:12" x14ac:dyDescent="0.25">
      <c r="A32">
        <v>1031</v>
      </c>
      <c r="B32" s="1">
        <v>45066</v>
      </c>
      <c r="C32" s="2"/>
      <c r="D32" s="2" t="s">
        <v>29</v>
      </c>
      <c r="E32" s="2" t="s">
        <v>14</v>
      </c>
      <c r="F32">
        <v>32000</v>
      </c>
      <c r="G32">
        <v>1</v>
      </c>
      <c r="H32">
        <v>0.05</v>
      </c>
      <c r="I32">
        <v>340</v>
      </c>
      <c r="J32" s="2" t="s">
        <v>15</v>
      </c>
      <c r="K32">
        <v>30060</v>
      </c>
      <c r="L32">
        <v>5</v>
      </c>
    </row>
    <row r="33" spans="1:12" x14ac:dyDescent="0.25">
      <c r="A33">
        <v>1032</v>
      </c>
      <c r="B33" s="1">
        <v>45071</v>
      </c>
      <c r="C33" s="2"/>
      <c r="D33" s="2" t="s">
        <v>31</v>
      </c>
      <c r="E33" s="2" t="s">
        <v>32</v>
      </c>
      <c r="F33">
        <v>1500</v>
      </c>
      <c r="G33">
        <v>1</v>
      </c>
      <c r="H33">
        <v>0.2</v>
      </c>
      <c r="I33">
        <v>620</v>
      </c>
      <c r="J33" s="2" t="s">
        <v>19</v>
      </c>
      <c r="K33">
        <v>580</v>
      </c>
      <c r="L33">
        <v>5</v>
      </c>
    </row>
    <row r="34" spans="1:12" x14ac:dyDescent="0.25">
      <c r="A34">
        <v>1033</v>
      </c>
      <c r="B34" s="1">
        <v>45078</v>
      </c>
      <c r="C34" s="2"/>
      <c r="D34" s="2" t="s">
        <v>34</v>
      </c>
      <c r="E34" s="2" t="s">
        <v>35</v>
      </c>
      <c r="F34">
        <v>12000</v>
      </c>
      <c r="G34">
        <v>1</v>
      </c>
      <c r="H34">
        <v>0.1</v>
      </c>
      <c r="I34">
        <v>370</v>
      </c>
      <c r="J34" s="2" t="s">
        <v>15</v>
      </c>
      <c r="K34">
        <v>10430</v>
      </c>
      <c r="L34">
        <v>6</v>
      </c>
    </row>
    <row r="35" spans="1:12" x14ac:dyDescent="0.25">
      <c r="A35">
        <v>1034</v>
      </c>
      <c r="B35" s="1">
        <v>45082</v>
      </c>
      <c r="C35" s="2"/>
      <c r="D35" s="2" t="s">
        <v>37</v>
      </c>
      <c r="E35" s="2" t="s">
        <v>14</v>
      </c>
      <c r="F35">
        <v>30000</v>
      </c>
      <c r="G35">
        <v>1</v>
      </c>
      <c r="H35">
        <v>0</v>
      </c>
      <c r="I35">
        <v>1050</v>
      </c>
      <c r="J35" s="2" t="s">
        <v>15</v>
      </c>
      <c r="K35">
        <v>28950</v>
      </c>
      <c r="L35">
        <v>6</v>
      </c>
    </row>
    <row r="36" spans="1:12" x14ac:dyDescent="0.25">
      <c r="A36">
        <v>1035</v>
      </c>
      <c r="B36" s="1">
        <v>45087</v>
      </c>
      <c r="C36" s="2"/>
      <c r="D36" s="2" t="s">
        <v>39</v>
      </c>
      <c r="E36" s="2" t="s">
        <v>14</v>
      </c>
      <c r="F36">
        <v>2500</v>
      </c>
      <c r="G36">
        <v>1</v>
      </c>
      <c r="H36">
        <v>0.05</v>
      </c>
      <c r="I36">
        <v>440</v>
      </c>
      <c r="J36" s="2" t="s">
        <v>15</v>
      </c>
      <c r="K36">
        <v>1935</v>
      </c>
      <c r="L36">
        <v>6</v>
      </c>
    </row>
    <row r="37" spans="1:12" x14ac:dyDescent="0.25">
      <c r="A37">
        <v>1036</v>
      </c>
      <c r="B37" s="1">
        <v>45092</v>
      </c>
      <c r="C37" s="2"/>
      <c r="D37" s="2" t="s">
        <v>41</v>
      </c>
      <c r="E37" s="2" t="s">
        <v>14</v>
      </c>
      <c r="F37">
        <v>1200</v>
      </c>
      <c r="G37">
        <v>2</v>
      </c>
      <c r="H37">
        <v>0</v>
      </c>
      <c r="I37">
        <v>230</v>
      </c>
      <c r="J37" s="2" t="s">
        <v>19</v>
      </c>
      <c r="K37">
        <v>2170</v>
      </c>
      <c r="L37">
        <v>6</v>
      </c>
    </row>
    <row r="38" spans="1:12" x14ac:dyDescent="0.25">
      <c r="A38">
        <v>1037</v>
      </c>
      <c r="B38" s="1">
        <v>45097</v>
      </c>
      <c r="C38" s="2"/>
      <c r="D38" s="2" t="s">
        <v>43</v>
      </c>
      <c r="E38" s="2" t="s">
        <v>44</v>
      </c>
      <c r="F38">
        <v>3500</v>
      </c>
      <c r="G38">
        <v>1</v>
      </c>
      <c r="H38">
        <v>0.15</v>
      </c>
      <c r="I38">
        <v>270</v>
      </c>
      <c r="J38" s="2" t="s">
        <v>15</v>
      </c>
      <c r="K38">
        <v>2705</v>
      </c>
      <c r="L38">
        <v>6</v>
      </c>
    </row>
    <row r="39" spans="1:12" x14ac:dyDescent="0.25">
      <c r="A39">
        <v>1038</v>
      </c>
      <c r="B39" s="1">
        <v>45102</v>
      </c>
      <c r="C39" s="2"/>
      <c r="D39" s="2" t="s">
        <v>46</v>
      </c>
      <c r="E39" s="2" t="s">
        <v>44</v>
      </c>
      <c r="F39">
        <v>8900</v>
      </c>
      <c r="G39">
        <v>1</v>
      </c>
      <c r="H39">
        <v>0.1</v>
      </c>
      <c r="I39">
        <v>390</v>
      </c>
      <c r="J39" s="2" t="s">
        <v>15</v>
      </c>
      <c r="K39">
        <v>7620</v>
      </c>
      <c r="L39">
        <v>6</v>
      </c>
    </row>
    <row r="40" spans="1:12" x14ac:dyDescent="0.25">
      <c r="A40">
        <v>1039</v>
      </c>
      <c r="B40" s="1">
        <v>45108</v>
      </c>
      <c r="C40" s="2"/>
      <c r="D40" s="2" t="s">
        <v>48</v>
      </c>
      <c r="E40" s="2" t="s">
        <v>14</v>
      </c>
      <c r="F40">
        <v>15000</v>
      </c>
      <c r="G40">
        <v>1</v>
      </c>
      <c r="H40">
        <v>0</v>
      </c>
      <c r="I40">
        <v>650</v>
      </c>
      <c r="J40" s="2" t="s">
        <v>15</v>
      </c>
      <c r="K40">
        <v>14350</v>
      </c>
      <c r="L40">
        <v>7</v>
      </c>
    </row>
    <row r="41" spans="1:12" x14ac:dyDescent="0.25">
      <c r="A41">
        <v>1040</v>
      </c>
      <c r="B41" s="1">
        <v>45112</v>
      </c>
      <c r="C41" s="2"/>
      <c r="D41" s="2" t="s">
        <v>50</v>
      </c>
      <c r="E41" s="2" t="s">
        <v>14</v>
      </c>
      <c r="F41">
        <v>6700</v>
      </c>
      <c r="G41">
        <v>1</v>
      </c>
      <c r="H41">
        <v>0.05</v>
      </c>
      <c r="I41">
        <v>410</v>
      </c>
      <c r="J41" s="2" t="s">
        <v>19</v>
      </c>
      <c r="K41">
        <v>5955</v>
      </c>
      <c r="L41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7520-38EC-4BB2-BF6D-63A886935F8D}">
  <dimension ref="A1:D7"/>
  <sheetViews>
    <sheetView workbookViewId="0">
      <selection activeCell="L26" sqref="L26"/>
    </sheetView>
  </sheetViews>
  <sheetFormatPr defaultRowHeight="15" x14ac:dyDescent="0.25"/>
  <cols>
    <col min="1" max="1" width="16.7109375" bestFit="1" customWidth="1"/>
    <col min="2" max="2" width="18.5703125" bestFit="1" customWidth="1"/>
    <col min="3" max="3" width="15.7109375" bestFit="1" customWidth="1"/>
    <col min="4" max="4" width="19.7109375" bestFit="1" customWidth="1"/>
  </cols>
  <sheetData>
    <row r="1" spans="1:4" x14ac:dyDescent="0.25">
      <c r="A1" t="s">
        <v>4</v>
      </c>
      <c r="B1" t="s">
        <v>75</v>
      </c>
      <c r="C1" t="s">
        <v>76</v>
      </c>
      <c r="D1" t="s">
        <v>77</v>
      </c>
    </row>
    <row r="2" spans="1:4" x14ac:dyDescent="0.25">
      <c r="A2" s="2" t="s">
        <v>14</v>
      </c>
      <c r="B2">
        <v>475060</v>
      </c>
      <c r="C2">
        <v>18271.54</v>
      </c>
      <c r="D2">
        <v>21</v>
      </c>
    </row>
    <row r="3" spans="1:4" x14ac:dyDescent="0.25">
      <c r="A3" s="2" t="s">
        <v>44</v>
      </c>
      <c r="B3">
        <v>23655</v>
      </c>
      <c r="C3">
        <v>4731</v>
      </c>
      <c r="D3">
        <v>4</v>
      </c>
    </row>
    <row r="4" spans="1:4" x14ac:dyDescent="0.25">
      <c r="A4" s="2" t="s">
        <v>35</v>
      </c>
      <c r="B4">
        <v>20430</v>
      </c>
      <c r="C4">
        <v>10215</v>
      </c>
      <c r="D4">
        <v>2</v>
      </c>
    </row>
    <row r="5" spans="1:4" x14ac:dyDescent="0.25">
      <c r="A5" s="2" t="s">
        <v>27</v>
      </c>
      <c r="B5">
        <v>7360</v>
      </c>
      <c r="C5">
        <v>2453.33</v>
      </c>
      <c r="D5">
        <v>3</v>
      </c>
    </row>
    <row r="6" spans="1:4" x14ac:dyDescent="0.25">
      <c r="A6" s="2" t="s">
        <v>32</v>
      </c>
      <c r="B6">
        <v>2780</v>
      </c>
      <c r="C6">
        <v>1390</v>
      </c>
      <c r="D6">
        <v>2</v>
      </c>
    </row>
    <row r="7" spans="1:4" x14ac:dyDescent="0.25">
      <c r="A7" s="2" t="s">
        <v>22</v>
      </c>
      <c r="B7">
        <v>1830</v>
      </c>
      <c r="C7">
        <v>915</v>
      </c>
      <c r="D7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EF66-2F1C-4898-91C6-3903BE1E937B}">
  <dimension ref="A1:B6"/>
  <sheetViews>
    <sheetView tabSelected="1" workbookViewId="0">
      <selection activeCell="M10" sqref="M10"/>
    </sheetView>
  </sheetViews>
  <sheetFormatPr defaultRowHeight="15" x14ac:dyDescent="0.25"/>
  <cols>
    <col min="1" max="1" width="10.140625" bestFit="1" customWidth="1"/>
    <col min="2" max="2" width="11.140625" bestFit="1" customWidth="1"/>
  </cols>
  <sheetData>
    <row r="1" spans="1:2" x14ac:dyDescent="0.25">
      <c r="A1" t="s">
        <v>3</v>
      </c>
      <c r="B1" t="s">
        <v>78</v>
      </c>
    </row>
    <row r="2" spans="1:2" x14ac:dyDescent="0.25">
      <c r="A2" s="2" t="s">
        <v>13</v>
      </c>
      <c r="B2">
        <v>145420</v>
      </c>
    </row>
    <row r="3" spans="1:2" x14ac:dyDescent="0.25">
      <c r="A3" s="2" t="s">
        <v>18</v>
      </c>
      <c r="B3">
        <v>120100</v>
      </c>
    </row>
    <row r="4" spans="1:2" x14ac:dyDescent="0.25">
      <c r="A4" s="2" t="s">
        <v>29</v>
      </c>
      <c r="B4">
        <v>60060</v>
      </c>
    </row>
    <row r="5" spans="1:2" x14ac:dyDescent="0.25">
      <c r="A5" s="2" t="s">
        <v>37</v>
      </c>
      <c r="B5">
        <v>58350</v>
      </c>
    </row>
    <row r="6" spans="1:2" x14ac:dyDescent="0.25">
      <c r="A6" s="2" t="s">
        <v>48</v>
      </c>
      <c r="B6">
        <v>28650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1757-88F0-47DC-ADF8-22DF398966C0}">
  <dimension ref="A1:L11"/>
  <sheetViews>
    <sheetView workbookViewId="0"/>
  </sheetViews>
  <sheetFormatPr defaultRowHeight="15" x14ac:dyDescent="0.25"/>
  <cols>
    <col min="1" max="1" width="10.28515625" bestFit="1" customWidth="1"/>
    <col min="2" max="2" width="12.5703125" bestFit="1" customWidth="1"/>
    <col min="3" max="3" width="17.28515625" bestFit="1" customWidth="1"/>
    <col min="4" max="4" width="10.28515625" bestFit="1" customWidth="1"/>
    <col min="5" max="5" width="11.5703125" bestFit="1" customWidth="1"/>
    <col min="6" max="6" width="7.7109375" bestFit="1" customWidth="1"/>
    <col min="7" max="8" width="11" bestFit="1" customWidth="1"/>
    <col min="9" max="9" width="14.5703125" bestFit="1" customWidth="1"/>
    <col min="10" max="10" width="11.5703125" bestFit="1" customWidth="1"/>
    <col min="11" max="11" width="11.140625" bestFit="1" customWidth="1"/>
    <col min="12" max="12" width="9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1001</v>
      </c>
      <c r="B2" s="1">
        <v>44931</v>
      </c>
      <c r="C2" s="2" t="s">
        <v>12</v>
      </c>
      <c r="D2" s="2" t="s">
        <v>13</v>
      </c>
      <c r="E2" s="2" t="s">
        <v>14</v>
      </c>
      <c r="F2">
        <v>75000</v>
      </c>
      <c r="G2">
        <v>1</v>
      </c>
      <c r="H2">
        <v>0.05</v>
      </c>
      <c r="I2">
        <v>500</v>
      </c>
      <c r="J2" s="2" t="s">
        <v>15</v>
      </c>
      <c r="K2">
        <v>70750</v>
      </c>
      <c r="L2">
        <v>1</v>
      </c>
    </row>
    <row r="3" spans="1:12" x14ac:dyDescent="0.25">
      <c r="A3">
        <v>1004</v>
      </c>
      <c r="B3" s="1">
        <v>44938</v>
      </c>
      <c r="C3" s="2" t="s">
        <v>23</v>
      </c>
      <c r="D3" s="2" t="s">
        <v>24</v>
      </c>
      <c r="E3" s="2" t="s">
        <v>14</v>
      </c>
      <c r="F3">
        <v>8000</v>
      </c>
      <c r="G3">
        <v>1</v>
      </c>
      <c r="H3">
        <v>0.15</v>
      </c>
      <c r="I3">
        <v>250</v>
      </c>
      <c r="J3" s="2" t="s">
        <v>15</v>
      </c>
      <c r="K3">
        <v>6550</v>
      </c>
      <c r="L3">
        <v>1</v>
      </c>
    </row>
    <row r="4" spans="1:12" x14ac:dyDescent="0.25">
      <c r="A4">
        <v>1006</v>
      </c>
      <c r="B4" s="1">
        <v>44946</v>
      </c>
      <c r="C4" s="2" t="s">
        <v>28</v>
      </c>
      <c r="D4" s="2" t="s">
        <v>29</v>
      </c>
      <c r="E4" s="2" t="s">
        <v>14</v>
      </c>
      <c r="F4">
        <v>32000</v>
      </c>
      <c r="G4">
        <v>1</v>
      </c>
      <c r="H4">
        <v>0.05</v>
      </c>
      <c r="I4">
        <v>400</v>
      </c>
      <c r="J4" s="2" t="s">
        <v>19</v>
      </c>
      <c r="K4">
        <v>30000</v>
      </c>
      <c r="L4">
        <v>1</v>
      </c>
    </row>
    <row r="5" spans="1:12" x14ac:dyDescent="0.25">
      <c r="A5">
        <v>1009</v>
      </c>
      <c r="B5" s="1">
        <v>44959</v>
      </c>
      <c r="C5" s="2" t="s">
        <v>36</v>
      </c>
      <c r="D5" s="2" t="s">
        <v>37</v>
      </c>
      <c r="E5" s="2" t="s">
        <v>14</v>
      </c>
      <c r="F5">
        <v>30000</v>
      </c>
      <c r="G5">
        <v>1</v>
      </c>
      <c r="H5">
        <v>0</v>
      </c>
      <c r="I5">
        <v>600</v>
      </c>
      <c r="J5" s="2" t="s">
        <v>15</v>
      </c>
      <c r="K5">
        <v>29400</v>
      </c>
      <c r="L5">
        <v>2</v>
      </c>
    </row>
    <row r="6" spans="1:12" x14ac:dyDescent="0.25">
      <c r="A6">
        <v>1013</v>
      </c>
      <c r="B6" s="1">
        <v>44977</v>
      </c>
      <c r="C6" s="2" t="s">
        <v>45</v>
      </c>
      <c r="D6" s="2" t="s">
        <v>46</v>
      </c>
      <c r="E6" s="2" t="s">
        <v>44</v>
      </c>
      <c r="F6">
        <v>8900</v>
      </c>
      <c r="G6">
        <v>1</v>
      </c>
      <c r="H6">
        <v>0.1</v>
      </c>
      <c r="I6">
        <v>180</v>
      </c>
      <c r="J6" s="2" t="s">
        <v>19</v>
      </c>
      <c r="K6">
        <v>7830</v>
      </c>
      <c r="L6">
        <v>2</v>
      </c>
    </row>
    <row r="7" spans="1:12" x14ac:dyDescent="0.25">
      <c r="A7">
        <v>1016</v>
      </c>
      <c r="B7" s="1">
        <v>44990</v>
      </c>
      <c r="C7" s="2" t="s">
        <v>51</v>
      </c>
      <c r="D7" s="2" t="s">
        <v>52</v>
      </c>
      <c r="E7" s="2" t="s">
        <v>14</v>
      </c>
      <c r="F7">
        <v>4500</v>
      </c>
      <c r="G7">
        <v>1</v>
      </c>
      <c r="H7">
        <v>0</v>
      </c>
      <c r="I7">
        <v>320</v>
      </c>
      <c r="J7" s="2" t="s">
        <v>19</v>
      </c>
      <c r="K7">
        <v>4180</v>
      </c>
      <c r="L7">
        <v>3</v>
      </c>
    </row>
    <row r="8" spans="1:12" x14ac:dyDescent="0.25">
      <c r="A8">
        <v>1019</v>
      </c>
      <c r="B8" s="1">
        <v>45005</v>
      </c>
      <c r="C8" s="2" t="s">
        <v>57</v>
      </c>
      <c r="D8" s="2" t="s">
        <v>58</v>
      </c>
      <c r="E8" s="2" t="s">
        <v>14</v>
      </c>
      <c r="F8">
        <v>2800</v>
      </c>
      <c r="G8">
        <v>1</v>
      </c>
      <c r="H8">
        <v>0.1</v>
      </c>
      <c r="I8">
        <v>380</v>
      </c>
      <c r="J8" s="2" t="s">
        <v>15</v>
      </c>
      <c r="K8">
        <v>2140</v>
      </c>
      <c r="L8">
        <v>3</v>
      </c>
    </row>
    <row r="9" spans="1:12" x14ac:dyDescent="0.25">
      <c r="A9">
        <v>1022</v>
      </c>
      <c r="B9" s="1">
        <v>45021</v>
      </c>
      <c r="C9" s="2" t="s">
        <v>63</v>
      </c>
      <c r="D9" s="2" t="s">
        <v>64</v>
      </c>
      <c r="E9" s="2" t="s">
        <v>14</v>
      </c>
      <c r="F9">
        <v>3800</v>
      </c>
      <c r="G9">
        <v>1</v>
      </c>
      <c r="H9">
        <v>0.15</v>
      </c>
      <c r="I9">
        <v>190</v>
      </c>
      <c r="J9" s="2" t="s">
        <v>15</v>
      </c>
      <c r="K9">
        <v>3040</v>
      </c>
      <c r="L9">
        <v>4</v>
      </c>
    </row>
    <row r="10" spans="1:12" x14ac:dyDescent="0.25">
      <c r="A10">
        <v>1025</v>
      </c>
      <c r="B10" s="1">
        <v>45036</v>
      </c>
      <c r="C10" s="2" t="s">
        <v>69</v>
      </c>
      <c r="D10" s="2" t="s">
        <v>70</v>
      </c>
      <c r="E10" s="2" t="s">
        <v>14</v>
      </c>
      <c r="F10">
        <v>5600</v>
      </c>
      <c r="G10">
        <v>1</v>
      </c>
      <c r="H10">
        <v>0.05</v>
      </c>
      <c r="I10">
        <v>580</v>
      </c>
      <c r="J10" s="2" t="s">
        <v>15</v>
      </c>
      <c r="K10">
        <v>4740</v>
      </c>
      <c r="L10">
        <v>4</v>
      </c>
    </row>
    <row r="11" spans="1:12" x14ac:dyDescent="0.25">
      <c r="A11">
        <v>1028</v>
      </c>
      <c r="B11" s="1">
        <v>45051</v>
      </c>
      <c r="C11" s="2" t="s">
        <v>72</v>
      </c>
      <c r="D11" s="2" t="s">
        <v>21</v>
      </c>
      <c r="E11" s="2" t="s">
        <v>22</v>
      </c>
      <c r="F11">
        <v>500</v>
      </c>
      <c r="G11">
        <v>2</v>
      </c>
      <c r="H11">
        <v>0</v>
      </c>
      <c r="I11">
        <v>470</v>
      </c>
      <c r="J11" s="2" t="s">
        <v>19</v>
      </c>
      <c r="K11">
        <v>530</v>
      </c>
      <c r="L11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2E53-0868-4479-B267-74FFDC272759}">
  <dimension ref="A1:L10"/>
  <sheetViews>
    <sheetView workbookViewId="0"/>
  </sheetViews>
  <sheetFormatPr defaultRowHeight="15" x14ac:dyDescent="0.25"/>
  <cols>
    <col min="1" max="1" width="10.28515625" bestFit="1" customWidth="1"/>
    <col min="2" max="2" width="12.5703125" bestFit="1" customWidth="1"/>
    <col min="3" max="3" width="17.28515625" bestFit="1" customWidth="1"/>
    <col min="4" max="4" width="10.85546875" bestFit="1" customWidth="1"/>
    <col min="5" max="5" width="16.7109375" bestFit="1" customWidth="1"/>
    <col min="6" max="6" width="7.7109375" bestFit="1" customWidth="1"/>
    <col min="7" max="8" width="11" bestFit="1" customWidth="1"/>
    <col min="9" max="9" width="14.5703125" bestFit="1" customWidth="1"/>
    <col min="10" max="10" width="11.5703125" bestFit="1" customWidth="1"/>
    <col min="11" max="11" width="11.140625" bestFit="1" customWidth="1"/>
    <col min="12" max="12" width="9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1003</v>
      </c>
      <c r="B2" s="1">
        <v>44936</v>
      </c>
      <c r="C2" s="2" t="s">
        <v>20</v>
      </c>
      <c r="D2" s="2" t="s">
        <v>21</v>
      </c>
      <c r="E2" s="2" t="s">
        <v>22</v>
      </c>
      <c r="F2">
        <v>500</v>
      </c>
      <c r="G2">
        <v>3</v>
      </c>
      <c r="H2">
        <v>0</v>
      </c>
      <c r="I2">
        <v>200</v>
      </c>
      <c r="J2" s="2" t="s">
        <v>15</v>
      </c>
      <c r="K2">
        <v>1300</v>
      </c>
      <c r="L2">
        <v>1</v>
      </c>
    </row>
    <row r="3" spans="1:12" x14ac:dyDescent="0.25">
      <c r="A3">
        <v>1007</v>
      </c>
      <c r="B3" s="1">
        <v>44951</v>
      </c>
      <c r="C3" s="2" t="s">
        <v>30</v>
      </c>
      <c r="D3" s="2" t="s">
        <v>31</v>
      </c>
      <c r="E3" s="2" t="s">
        <v>32</v>
      </c>
      <c r="F3">
        <v>1500</v>
      </c>
      <c r="G3">
        <v>2</v>
      </c>
      <c r="H3">
        <v>0.2</v>
      </c>
      <c r="I3">
        <v>200</v>
      </c>
      <c r="J3" s="2" t="s">
        <v>15</v>
      </c>
      <c r="K3">
        <v>2200</v>
      </c>
      <c r="L3">
        <v>1</v>
      </c>
    </row>
    <row r="4" spans="1:12" x14ac:dyDescent="0.25">
      <c r="A4">
        <v>1011</v>
      </c>
      <c r="B4" s="1">
        <v>44967</v>
      </c>
      <c r="C4" s="2" t="s">
        <v>40</v>
      </c>
      <c r="D4" s="2" t="s">
        <v>41</v>
      </c>
      <c r="E4" s="2" t="s">
        <v>14</v>
      </c>
      <c r="F4">
        <v>1200</v>
      </c>
      <c r="G4">
        <v>1</v>
      </c>
      <c r="H4">
        <v>0</v>
      </c>
      <c r="I4">
        <v>350</v>
      </c>
      <c r="J4" s="2" t="s">
        <v>15</v>
      </c>
      <c r="K4">
        <v>850</v>
      </c>
      <c r="L4">
        <v>2</v>
      </c>
    </row>
    <row r="5" spans="1:12" x14ac:dyDescent="0.25">
      <c r="A5">
        <v>1015</v>
      </c>
      <c r="B5" s="1">
        <v>44986</v>
      </c>
      <c r="C5" s="2" t="s">
        <v>49</v>
      </c>
      <c r="D5" s="2" t="s">
        <v>50</v>
      </c>
      <c r="E5" s="2" t="s">
        <v>14</v>
      </c>
      <c r="F5">
        <v>6700</v>
      </c>
      <c r="G5">
        <v>1</v>
      </c>
      <c r="H5">
        <v>0.05</v>
      </c>
      <c r="I5">
        <v>220</v>
      </c>
      <c r="J5" s="2" t="s">
        <v>15</v>
      </c>
      <c r="K5">
        <v>6145</v>
      </c>
      <c r="L5">
        <v>3</v>
      </c>
    </row>
    <row r="6" spans="1:12" x14ac:dyDescent="0.25">
      <c r="A6">
        <v>1018</v>
      </c>
      <c r="B6" s="1">
        <v>45000</v>
      </c>
      <c r="C6" s="2" t="s">
        <v>55</v>
      </c>
      <c r="D6" s="2" t="s">
        <v>56</v>
      </c>
      <c r="E6" s="2" t="s">
        <v>44</v>
      </c>
      <c r="F6">
        <v>1300</v>
      </c>
      <c r="G6">
        <v>1</v>
      </c>
      <c r="H6">
        <v>0</v>
      </c>
      <c r="I6">
        <v>550</v>
      </c>
      <c r="J6" s="2" t="s">
        <v>15</v>
      </c>
      <c r="K6">
        <v>750</v>
      </c>
      <c r="L6">
        <v>3</v>
      </c>
    </row>
    <row r="7" spans="1:12" x14ac:dyDescent="0.25">
      <c r="A7">
        <v>1021</v>
      </c>
      <c r="B7" s="1">
        <v>45017</v>
      </c>
      <c r="C7" s="2" t="s">
        <v>61</v>
      </c>
      <c r="D7" s="2" t="s">
        <v>62</v>
      </c>
      <c r="E7" s="2" t="s">
        <v>14</v>
      </c>
      <c r="F7">
        <v>8900</v>
      </c>
      <c r="G7">
        <v>1</v>
      </c>
      <c r="H7">
        <v>0</v>
      </c>
      <c r="I7">
        <v>420</v>
      </c>
      <c r="J7" s="2" t="s">
        <v>15</v>
      </c>
      <c r="K7">
        <v>8480</v>
      </c>
      <c r="L7">
        <v>4</v>
      </c>
    </row>
    <row r="8" spans="1:12" x14ac:dyDescent="0.25">
      <c r="A8">
        <v>1024</v>
      </c>
      <c r="B8" s="1">
        <v>45031</v>
      </c>
      <c r="C8" s="2" t="s">
        <v>67</v>
      </c>
      <c r="D8" s="2" t="s">
        <v>68</v>
      </c>
      <c r="E8" s="2" t="s">
        <v>14</v>
      </c>
      <c r="F8">
        <v>3400</v>
      </c>
      <c r="G8">
        <v>1</v>
      </c>
      <c r="H8">
        <v>0.1</v>
      </c>
      <c r="I8">
        <v>260</v>
      </c>
      <c r="J8" s="2" t="s">
        <v>19</v>
      </c>
      <c r="K8">
        <v>2800</v>
      </c>
      <c r="L8">
        <v>4</v>
      </c>
    </row>
    <row r="9" spans="1:12" x14ac:dyDescent="0.25">
      <c r="A9">
        <v>1027</v>
      </c>
      <c r="B9" s="1">
        <v>45047</v>
      </c>
      <c r="C9" s="2" t="s">
        <v>71</v>
      </c>
      <c r="D9" s="2" t="s">
        <v>18</v>
      </c>
      <c r="E9" s="2" t="s">
        <v>14</v>
      </c>
      <c r="F9">
        <v>45000</v>
      </c>
      <c r="G9">
        <v>1</v>
      </c>
      <c r="H9">
        <v>0.1</v>
      </c>
      <c r="I9">
        <v>1100</v>
      </c>
      <c r="J9" s="2" t="s">
        <v>15</v>
      </c>
      <c r="K9">
        <v>39400</v>
      </c>
      <c r="L9">
        <v>5</v>
      </c>
    </row>
    <row r="10" spans="1:12" x14ac:dyDescent="0.25">
      <c r="A10">
        <v>1030</v>
      </c>
      <c r="B10" s="1">
        <v>45061</v>
      </c>
      <c r="C10" s="2" t="s">
        <v>74</v>
      </c>
      <c r="D10" s="2" t="s">
        <v>26</v>
      </c>
      <c r="E10" s="2" t="s">
        <v>27</v>
      </c>
      <c r="F10">
        <v>350</v>
      </c>
      <c r="G10">
        <v>3</v>
      </c>
      <c r="H10">
        <v>0</v>
      </c>
      <c r="I10">
        <v>290</v>
      </c>
      <c r="J10" s="2" t="s">
        <v>15</v>
      </c>
      <c r="K10">
        <v>760</v>
      </c>
      <c r="L10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F8DC-A4BB-4E06-9E4A-06C63F83AAAD}">
  <dimension ref="A1:F9"/>
  <sheetViews>
    <sheetView workbookViewId="0">
      <selection activeCell="M24" sqref="M24"/>
    </sheetView>
  </sheetViews>
  <sheetFormatPr defaultRowHeight="15" x14ac:dyDescent="0.25"/>
  <cols>
    <col min="1" max="1" width="9.28515625" bestFit="1" customWidth="1"/>
    <col min="2" max="2" width="11.140625" bestFit="1" customWidth="1"/>
    <col min="3" max="3" width="19.85546875" bestFit="1" customWidth="1"/>
    <col min="5" max="5" width="17.28515625" bestFit="1" customWidth="1"/>
    <col min="6" max="6" width="24.140625" bestFit="1" customWidth="1"/>
  </cols>
  <sheetData>
    <row r="1" spans="1:6" x14ac:dyDescent="0.25">
      <c r="A1" t="s">
        <v>11</v>
      </c>
      <c r="B1" t="s">
        <v>78</v>
      </c>
      <c r="C1" t="s">
        <v>79</v>
      </c>
      <c r="E1" s="3" t="s">
        <v>95</v>
      </c>
      <c r="F1" t="s">
        <v>97</v>
      </c>
    </row>
    <row r="2" spans="1:6" x14ac:dyDescent="0.25">
      <c r="A2">
        <v>1</v>
      </c>
      <c r="B2">
        <v>203100</v>
      </c>
      <c r="C2" s="2" t="s">
        <v>80</v>
      </c>
      <c r="E2" s="4" t="s">
        <v>80</v>
      </c>
      <c r="F2" s="2">
        <v>203100</v>
      </c>
    </row>
    <row r="3" spans="1:6" x14ac:dyDescent="0.25">
      <c r="A3">
        <v>2</v>
      </c>
      <c r="B3">
        <v>59355</v>
      </c>
      <c r="C3" s="2" t="s">
        <v>81</v>
      </c>
      <c r="E3" s="4" t="s">
        <v>81</v>
      </c>
      <c r="F3" s="2">
        <v>59355</v>
      </c>
    </row>
    <row r="4" spans="1:6" x14ac:dyDescent="0.25">
      <c r="A4">
        <v>3</v>
      </c>
      <c r="B4">
        <v>20305</v>
      </c>
      <c r="C4" s="2" t="s">
        <v>82</v>
      </c>
      <c r="E4" s="4" t="s">
        <v>82</v>
      </c>
      <c r="F4" s="2">
        <v>20305</v>
      </c>
    </row>
    <row r="5" spans="1:6" x14ac:dyDescent="0.25">
      <c r="A5">
        <v>4</v>
      </c>
      <c r="B5">
        <v>96320</v>
      </c>
      <c r="C5" s="2" t="s">
        <v>83</v>
      </c>
      <c r="E5" s="4" t="s">
        <v>83</v>
      </c>
      <c r="F5" s="2">
        <v>96320</v>
      </c>
    </row>
    <row r="6" spans="1:6" x14ac:dyDescent="0.25">
      <c r="A6">
        <v>5</v>
      </c>
      <c r="B6">
        <v>77920</v>
      </c>
      <c r="C6" s="2" t="s">
        <v>84</v>
      </c>
      <c r="E6" s="4" t="s">
        <v>84</v>
      </c>
      <c r="F6" s="2">
        <v>77920</v>
      </c>
    </row>
    <row r="7" spans="1:6" x14ac:dyDescent="0.25">
      <c r="A7">
        <v>6</v>
      </c>
      <c r="B7">
        <v>53810</v>
      </c>
      <c r="C7" s="2" t="s">
        <v>85</v>
      </c>
      <c r="E7" s="4" t="s">
        <v>85</v>
      </c>
      <c r="F7" s="2">
        <v>53810</v>
      </c>
    </row>
    <row r="8" spans="1:6" x14ac:dyDescent="0.25">
      <c r="A8">
        <v>7</v>
      </c>
      <c r="B8">
        <v>20305</v>
      </c>
      <c r="C8" s="2" t="s">
        <v>86</v>
      </c>
      <c r="E8" s="4" t="s">
        <v>86</v>
      </c>
      <c r="F8" s="2">
        <v>20305</v>
      </c>
    </row>
    <row r="9" spans="1:6" x14ac:dyDescent="0.25">
      <c r="E9" s="4" t="s">
        <v>96</v>
      </c>
      <c r="F9" s="2">
        <v>531115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A44C-749F-412E-9CEA-1B88EC2FA4F1}">
  <dimension ref="A1:E9"/>
  <sheetViews>
    <sheetView workbookViewId="0">
      <selection activeCell="N22" sqref="N22"/>
    </sheetView>
  </sheetViews>
  <sheetFormatPr defaultRowHeight="15" x14ac:dyDescent="0.25"/>
  <cols>
    <col min="1" max="1" width="16.5703125" bestFit="1" customWidth="1"/>
    <col min="2" max="2" width="11.140625" bestFit="1" customWidth="1"/>
    <col min="4" max="4" width="17.28515625" bestFit="1" customWidth="1"/>
    <col min="5" max="5" width="24.140625" bestFit="1" customWidth="1"/>
  </cols>
  <sheetData>
    <row r="1" spans="1:5" x14ac:dyDescent="0.25">
      <c r="A1" t="s">
        <v>87</v>
      </c>
      <c r="B1" t="s">
        <v>78</v>
      </c>
      <c r="D1" s="3" t="s">
        <v>95</v>
      </c>
      <c r="E1" t="s">
        <v>97</v>
      </c>
    </row>
    <row r="2" spans="1:5" x14ac:dyDescent="0.25">
      <c r="A2" s="2" t="s">
        <v>88</v>
      </c>
      <c r="B2">
        <v>137150</v>
      </c>
      <c r="D2" s="4" t="s">
        <v>92</v>
      </c>
      <c r="E2" s="2">
        <v>75190</v>
      </c>
    </row>
    <row r="3" spans="1:5" x14ac:dyDescent="0.25">
      <c r="A3" s="2" t="s">
        <v>89</v>
      </c>
      <c r="B3">
        <v>94045</v>
      </c>
      <c r="D3" s="4" t="s">
        <v>91</v>
      </c>
      <c r="E3" s="2">
        <v>77080</v>
      </c>
    </row>
    <row r="4" spans="1:5" x14ac:dyDescent="0.25">
      <c r="A4" s="2" t="s">
        <v>90</v>
      </c>
      <c r="B4">
        <v>93160</v>
      </c>
      <c r="D4" s="4" t="s">
        <v>94</v>
      </c>
      <c r="E4" s="2">
        <v>19245</v>
      </c>
    </row>
    <row r="5" spans="1:5" x14ac:dyDescent="0.25">
      <c r="A5" s="2" t="s">
        <v>91</v>
      </c>
      <c r="B5">
        <v>77080</v>
      </c>
      <c r="D5" s="4" t="s">
        <v>89</v>
      </c>
      <c r="E5" s="2">
        <v>94045</v>
      </c>
    </row>
    <row r="6" spans="1:5" x14ac:dyDescent="0.25">
      <c r="A6" s="2" t="s">
        <v>92</v>
      </c>
      <c r="B6">
        <v>75190</v>
      </c>
      <c r="D6" s="4" t="s">
        <v>88</v>
      </c>
      <c r="E6" s="2">
        <v>137150</v>
      </c>
    </row>
    <row r="7" spans="1:5" x14ac:dyDescent="0.25">
      <c r="A7" s="2" t="s">
        <v>93</v>
      </c>
      <c r="B7">
        <v>35245</v>
      </c>
      <c r="D7" s="4" t="s">
        <v>93</v>
      </c>
      <c r="E7" s="2">
        <v>35245</v>
      </c>
    </row>
    <row r="8" spans="1:5" x14ac:dyDescent="0.25">
      <c r="A8" s="2" t="s">
        <v>94</v>
      </c>
      <c r="B8">
        <v>19245</v>
      </c>
      <c r="D8" s="4" t="s">
        <v>90</v>
      </c>
      <c r="E8" s="2">
        <v>93160</v>
      </c>
    </row>
    <row r="9" spans="1:5" x14ac:dyDescent="0.25">
      <c r="D9" s="4" t="s">
        <v>96</v>
      </c>
      <c r="E9" s="2">
        <v>531115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2F38DD-CD9D-454B-8614-10961BA0A8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Витрина_Данных</vt:lpstr>
      <vt:lpstr>Продажи_по_Категориям</vt:lpstr>
      <vt:lpstr>Топ5_Товаров</vt:lpstr>
      <vt:lpstr>VIP_Клиенты</vt:lpstr>
      <vt:lpstr>Новые_Клиенты</vt:lpstr>
      <vt:lpstr>Динамика_по_Месяцам</vt:lpstr>
      <vt:lpstr>Выручка_по_Регионам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valek</dc:creator>
  <cp:lastModifiedBy>valek</cp:lastModifiedBy>
  <dcterms:created xsi:type="dcterms:W3CDTF">2026-05-14T08:00:53Z</dcterms:created>
  <dcterms:modified xsi:type="dcterms:W3CDTF">2026-05-14T08:45:30Z</dcterms:modified>
</cp:coreProperties>
</file>